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ritamasaya/Dropbox/投稿論文/Inoha_Porites_density/Data/"/>
    </mc:Choice>
  </mc:AlternateContent>
  <xr:revisionPtr revIDLastSave="0" documentId="13_ncr:1_{98D7DA6B-EF42-0C46-908A-F9F5B5C3B80E}" xr6:coauthVersionLast="47" xr6:coauthVersionMax="47" xr10:uidLastSave="{00000000-0000-0000-0000-000000000000}"/>
  <bookViews>
    <workbookView xWindow="9360" yWindow="1440" windowWidth="32940" windowHeight="18500" xr2:uid="{D07AA787-DCE8-4F0D-9335-0C15B165D26D}"/>
  </bookViews>
  <sheets>
    <sheet name="Sex_of_P.cylindrica (2)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" i="11" l="1"/>
  <c r="O103" i="11"/>
  <c r="L104" i="11"/>
  <c r="O104" i="11"/>
  <c r="L105" i="11"/>
  <c r="O105" i="11"/>
  <c r="L106" i="11"/>
  <c r="O106" i="11"/>
  <c r="L107" i="11"/>
  <c r="O107" i="11"/>
  <c r="L108" i="11"/>
  <c r="O108" i="11"/>
  <c r="L109" i="11"/>
  <c r="O109" i="11"/>
  <c r="L110" i="11"/>
  <c r="O110" i="11"/>
  <c r="L111" i="11"/>
  <c r="O111" i="11"/>
  <c r="L112" i="11"/>
  <c r="O112" i="11"/>
  <c r="L113" i="11"/>
  <c r="O113" i="11"/>
  <c r="L114" i="11"/>
  <c r="O114" i="11"/>
  <c r="O102" i="11"/>
  <c r="L102" i="11"/>
  <c r="O101" i="11"/>
  <c r="L101" i="11"/>
  <c r="O100" i="11"/>
  <c r="L100" i="11"/>
  <c r="O99" i="11"/>
  <c r="L99" i="11"/>
  <c r="O98" i="11"/>
  <c r="L98" i="11"/>
  <c r="O97" i="11"/>
  <c r="L97" i="11"/>
  <c r="O96" i="11"/>
  <c r="L96" i="11"/>
  <c r="O95" i="11"/>
  <c r="L95" i="11"/>
  <c r="O94" i="11"/>
  <c r="L94" i="11"/>
  <c r="O93" i="11"/>
  <c r="L93" i="11"/>
  <c r="O92" i="11"/>
  <c r="L92" i="11"/>
  <c r="O91" i="11"/>
  <c r="L91" i="11"/>
  <c r="O90" i="11"/>
  <c r="L90" i="11"/>
  <c r="O89" i="11"/>
  <c r="L89" i="11"/>
  <c r="O88" i="11"/>
  <c r="L88" i="11"/>
  <c r="O87" i="11"/>
  <c r="L87" i="11"/>
  <c r="O86" i="11"/>
  <c r="L86" i="11"/>
  <c r="O85" i="11"/>
  <c r="L85" i="11"/>
  <c r="O84" i="11"/>
  <c r="L84" i="11"/>
  <c r="O83" i="11"/>
  <c r="L83" i="11"/>
  <c r="O82" i="11"/>
  <c r="L82" i="11"/>
  <c r="O81" i="11"/>
  <c r="L81" i="11"/>
  <c r="I81" i="11" a="1"/>
  <c r="I81" i="11" s="1"/>
  <c r="O80" i="11"/>
  <c r="L80" i="11"/>
  <c r="O79" i="11"/>
  <c r="L79" i="11"/>
  <c r="O78" i="11"/>
  <c r="L78" i="11"/>
  <c r="O77" i="11"/>
  <c r="L77" i="11"/>
  <c r="O76" i="11"/>
  <c r="L76" i="11"/>
  <c r="O75" i="11"/>
  <c r="L75" i="11"/>
  <c r="O74" i="11"/>
  <c r="L74" i="11"/>
  <c r="I74" i="11" a="1"/>
  <c r="I74" i="11" s="1"/>
  <c r="O73" i="11"/>
  <c r="L73" i="11"/>
  <c r="O72" i="11"/>
  <c r="L72" i="11"/>
  <c r="O71" i="11"/>
  <c r="L71" i="11"/>
  <c r="I71" i="11" a="1"/>
  <c r="I71" i="11" s="1"/>
  <c r="O70" i="11"/>
  <c r="L70" i="11"/>
  <c r="O69" i="11"/>
  <c r="L69" i="11"/>
  <c r="O68" i="11"/>
  <c r="L68" i="11"/>
  <c r="O67" i="11"/>
  <c r="L67" i="11"/>
  <c r="O66" i="11"/>
  <c r="L66" i="11"/>
  <c r="O65" i="11"/>
  <c r="L65" i="11"/>
  <c r="O64" i="11"/>
  <c r="L64" i="11"/>
  <c r="O63" i="11"/>
  <c r="L63" i="11"/>
  <c r="O62" i="11"/>
  <c r="L62" i="11"/>
  <c r="O61" i="11"/>
  <c r="L61" i="11"/>
  <c r="O60" i="11"/>
  <c r="L60" i="11"/>
  <c r="O59" i="11"/>
  <c r="L59" i="11"/>
  <c r="O58" i="11"/>
  <c r="L58" i="11"/>
  <c r="O57" i="11"/>
  <c r="L57" i="11"/>
  <c r="O56" i="11"/>
  <c r="L56" i="11"/>
  <c r="O55" i="11"/>
  <c r="L55" i="11"/>
  <c r="O54" i="11"/>
  <c r="L54" i="11"/>
  <c r="O53" i="11"/>
  <c r="L53" i="11"/>
  <c r="O52" i="11"/>
  <c r="L52" i="11"/>
  <c r="O51" i="11"/>
  <c r="L51" i="11"/>
  <c r="O50" i="11"/>
  <c r="L50" i="11"/>
  <c r="O49" i="11"/>
  <c r="L49" i="11"/>
  <c r="O48" i="11"/>
  <c r="L48" i="11"/>
  <c r="O47" i="11"/>
  <c r="L47" i="11"/>
  <c r="O46" i="11"/>
  <c r="L46" i="11"/>
  <c r="O45" i="11"/>
  <c r="L45" i="11"/>
  <c r="O44" i="11"/>
  <c r="L44" i="11"/>
  <c r="O43" i="11"/>
  <c r="L43" i="11"/>
  <c r="O42" i="11"/>
  <c r="L42" i="11"/>
  <c r="O41" i="11"/>
  <c r="L41" i="11"/>
  <c r="O40" i="11"/>
  <c r="L40" i="11"/>
  <c r="I40" i="11" a="1"/>
  <c r="I40" i="11" s="1"/>
  <c r="O39" i="11"/>
  <c r="L39" i="11"/>
  <c r="O38" i="11"/>
  <c r="L38" i="11"/>
  <c r="O37" i="11"/>
  <c r="L37" i="11"/>
  <c r="O36" i="11"/>
  <c r="L36" i="11"/>
  <c r="I36" i="11" a="1"/>
  <c r="I36" i="11" s="1"/>
  <c r="O35" i="11"/>
  <c r="L35" i="11"/>
  <c r="I35" i="11" a="1"/>
  <c r="I35" i="11" s="1"/>
  <c r="O34" i="11"/>
  <c r="L34" i="11"/>
  <c r="I34" i="11" a="1"/>
  <c r="I34" i="11" s="1"/>
  <c r="O33" i="11"/>
  <c r="L33" i="11"/>
  <c r="O32" i="11"/>
  <c r="L32" i="11"/>
  <c r="O31" i="11"/>
  <c r="L31" i="11"/>
  <c r="O30" i="11"/>
  <c r="L30" i="11"/>
  <c r="O29" i="11"/>
  <c r="L29" i="11"/>
  <c r="O28" i="11"/>
  <c r="L28" i="11"/>
  <c r="O27" i="11"/>
  <c r="L27" i="11"/>
  <c r="O26" i="11"/>
  <c r="L26" i="11"/>
  <c r="O25" i="11"/>
  <c r="L25" i="11"/>
  <c r="O24" i="11"/>
  <c r="L24" i="11"/>
  <c r="O23" i="11"/>
  <c r="L23" i="11"/>
  <c r="O22" i="11"/>
  <c r="L22" i="11"/>
  <c r="O21" i="11"/>
  <c r="L21" i="11"/>
  <c r="O20" i="11"/>
  <c r="L20" i="11"/>
  <c r="O19" i="11"/>
  <c r="L19" i="11"/>
  <c r="O18" i="11"/>
  <c r="L18" i="11"/>
  <c r="O17" i="11"/>
  <c r="L17" i="11"/>
  <c r="O16" i="11"/>
  <c r="L16" i="11"/>
  <c r="O15" i="11"/>
  <c r="L15" i="11"/>
  <c r="O14" i="11"/>
  <c r="L14" i="11"/>
  <c r="O13" i="11"/>
  <c r="L13" i="11"/>
  <c r="O12" i="11"/>
  <c r="L12" i="11"/>
  <c r="O11" i="11"/>
  <c r="L11" i="11"/>
  <c r="O10" i="11"/>
  <c r="L10" i="11"/>
  <c r="O9" i="11"/>
  <c r="L9" i="11"/>
  <c r="O8" i="11"/>
  <c r="L8" i="11"/>
  <c r="O7" i="11"/>
  <c r="L7" i="11"/>
  <c r="O6" i="11"/>
  <c r="L6" i="11"/>
  <c r="O5" i="11"/>
  <c r="L5" i="11"/>
  <c r="O4" i="11"/>
  <c r="L4" i="11"/>
  <c r="O3" i="11"/>
  <c r="L3" i="11"/>
  <c r="O2" i="11"/>
  <c r="L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<sst xmlns="http://schemas.openxmlformats.org/spreadsheetml/2006/main" count="917" uniqueCount="143">
  <si>
    <t>no gamete</t>
    <phoneticPr fontId="2"/>
  </si>
  <si>
    <t>Pc24-10</t>
  </si>
  <si>
    <t>Pc24-11</t>
  </si>
  <si>
    <t>Pc24-12</t>
  </si>
  <si>
    <t>Pc24-13</t>
  </si>
  <si>
    <t>Pc24-14</t>
  </si>
  <si>
    <t>Pc24-15</t>
  </si>
  <si>
    <t>Pc24-16</t>
  </si>
  <si>
    <t>Pc24-17</t>
  </si>
  <si>
    <t>Pc24-18</t>
  </si>
  <si>
    <t>Pc24-19</t>
  </si>
  <si>
    <t>Pc24-20</t>
  </si>
  <si>
    <t>Pc24-21</t>
  </si>
  <si>
    <t>Pc24-22</t>
  </si>
  <si>
    <t>Pc24-23</t>
  </si>
  <si>
    <t>Pc24-24</t>
  </si>
  <si>
    <t>Pc24-25</t>
  </si>
  <si>
    <t>Pc24-26</t>
  </si>
  <si>
    <t>Pc24-27</t>
  </si>
  <si>
    <t>Pc24-28</t>
  </si>
  <si>
    <t>Pc24-29</t>
  </si>
  <si>
    <t>Pc24-30</t>
  </si>
  <si>
    <t>Pc24-31</t>
  </si>
  <si>
    <t>Pc24-32</t>
  </si>
  <si>
    <t>Pc24-33</t>
  </si>
  <si>
    <t>Pc24-34</t>
  </si>
  <si>
    <t>Pc24-35</t>
  </si>
  <si>
    <t>Pc24-36</t>
  </si>
  <si>
    <t>Pc24-37</t>
  </si>
  <si>
    <t>Pc24-38</t>
  </si>
  <si>
    <t>Pc24-39</t>
  </si>
  <si>
    <t>Pc24-40</t>
  </si>
  <si>
    <t>Pc24-41</t>
  </si>
  <si>
    <t>Pc24-42</t>
  </si>
  <si>
    <t>Pc24-43</t>
  </si>
  <si>
    <t>Pc24-44</t>
  </si>
  <si>
    <t>Pc24-45</t>
  </si>
  <si>
    <t>Pc24-46</t>
  </si>
  <si>
    <t>Pc24-47</t>
  </si>
  <si>
    <t>Pc24-48</t>
  </si>
  <si>
    <t>Pc24-49</t>
  </si>
  <si>
    <t>Pc24-50</t>
  </si>
  <si>
    <t>Pc24-51</t>
  </si>
  <si>
    <t>Pc24-52</t>
  </si>
  <si>
    <t>Pc24-53</t>
  </si>
  <si>
    <t>Pc24-54</t>
  </si>
  <si>
    <t>Pc24-55</t>
  </si>
  <si>
    <t>Pc24-56</t>
  </si>
  <si>
    <t>Pc24-57</t>
  </si>
  <si>
    <t>Pc24-58</t>
  </si>
  <si>
    <t>Pc24-59</t>
  </si>
  <si>
    <t>Pc24-60</t>
  </si>
  <si>
    <t>Pc24-61</t>
  </si>
  <si>
    <t>Pc24-62</t>
  </si>
  <si>
    <t>Pc24-63</t>
  </si>
  <si>
    <t>Pc24-64</t>
  </si>
  <si>
    <t>Pc24-65</t>
  </si>
  <si>
    <t>Pc24-66</t>
  </si>
  <si>
    <t>Pc24-67</t>
  </si>
  <si>
    <t>Pc24-68</t>
  </si>
  <si>
    <t>Pc24-69</t>
  </si>
  <si>
    <t>Pc24-70</t>
  </si>
  <si>
    <t>Pc24-71</t>
  </si>
  <si>
    <t>Pc24-72</t>
  </si>
  <si>
    <t>Pc24-73</t>
  </si>
  <si>
    <t>Pc24-74</t>
  </si>
  <si>
    <t>Pc24-75</t>
  </si>
  <si>
    <t>Pc24-76</t>
  </si>
  <si>
    <t>Pc24-77</t>
  </si>
  <si>
    <t>Pc24-78</t>
  </si>
  <si>
    <t>Pc24-79</t>
  </si>
  <si>
    <t>Pc24-80</t>
  </si>
  <si>
    <t>Pc24-81</t>
  </si>
  <si>
    <t>Pc24-82</t>
  </si>
  <si>
    <t>Pc24-83</t>
  </si>
  <si>
    <t>Pc24-84</t>
  </si>
  <si>
    <t>F</t>
    <phoneticPr fontId="2"/>
  </si>
  <si>
    <t>M</t>
    <phoneticPr fontId="2"/>
  </si>
  <si>
    <t>MH</t>
    <phoneticPr fontId="2"/>
  </si>
  <si>
    <t>FH</t>
    <phoneticPr fontId="2"/>
  </si>
  <si>
    <t>Color</t>
    <phoneticPr fontId="2"/>
  </si>
  <si>
    <t>B</t>
    <phoneticPr fontId="2"/>
  </si>
  <si>
    <t>Y</t>
    <phoneticPr fontId="2"/>
  </si>
  <si>
    <t>Pc24-85</t>
  </si>
  <si>
    <t>Pc24-86</t>
  </si>
  <si>
    <t>Pc24-87</t>
  </si>
  <si>
    <t>Pc24-88</t>
  </si>
  <si>
    <t>Pc24-89</t>
  </si>
  <si>
    <t>Pc24-90</t>
  </si>
  <si>
    <t>Pc24-92</t>
  </si>
  <si>
    <t>Pc24-93</t>
  </si>
  <si>
    <t>Pc24-94</t>
  </si>
  <si>
    <t>Pc24-95</t>
  </si>
  <si>
    <t>Pc24-96</t>
  </si>
  <si>
    <t>Pc24-97</t>
  </si>
  <si>
    <t>Pc21-11</t>
    <phoneticPr fontId="2"/>
  </si>
  <si>
    <t>Pc21-14</t>
  </si>
  <si>
    <t>Pc21-16</t>
  </si>
  <si>
    <t>Pc21-17</t>
  </si>
  <si>
    <t>Pc21-18</t>
  </si>
  <si>
    <t>Pc21-19</t>
  </si>
  <si>
    <t>Pc21-20</t>
  </si>
  <si>
    <t>Pc21-21</t>
  </si>
  <si>
    <t>Pc21-22</t>
  </si>
  <si>
    <t>Pc21-24</t>
  </si>
  <si>
    <t>Pc21-25</t>
  </si>
  <si>
    <t>Pc21-26</t>
  </si>
  <si>
    <t>Colony_ID</t>
    <phoneticPr fontId="2"/>
  </si>
  <si>
    <t>Pc21-12</t>
    <phoneticPr fontId="2"/>
  </si>
  <si>
    <t>Pc21-13</t>
  </si>
  <si>
    <t>Pc21-15</t>
    <phoneticPr fontId="2"/>
  </si>
  <si>
    <t>Pc21-23</t>
    <phoneticPr fontId="2"/>
  </si>
  <si>
    <t>Pc21-96</t>
    <phoneticPr fontId="2"/>
  </si>
  <si>
    <t>Pc24-01</t>
    <phoneticPr fontId="2"/>
  </si>
  <si>
    <t>Pc24-02</t>
    <phoneticPr fontId="2"/>
  </si>
  <si>
    <t>Pc24-03</t>
    <phoneticPr fontId="2"/>
  </si>
  <si>
    <t>Pc24-04</t>
    <phoneticPr fontId="2"/>
  </si>
  <si>
    <t>Pc24-05</t>
    <phoneticPr fontId="2"/>
  </si>
  <si>
    <t>Pc24-06</t>
    <phoneticPr fontId="2"/>
  </si>
  <si>
    <t>Pc24-07</t>
    <phoneticPr fontId="2"/>
  </si>
  <si>
    <t>Pc24-08</t>
    <phoneticPr fontId="2"/>
  </si>
  <si>
    <t>Pc24-09</t>
    <phoneticPr fontId="2"/>
  </si>
  <si>
    <t>2025_July_histo</t>
    <phoneticPr fontId="2"/>
  </si>
  <si>
    <t>sex_change</t>
    <phoneticPr fontId="2"/>
  </si>
  <si>
    <t>no gamete</t>
  </si>
  <si>
    <t>2024_number_of_hermaphrodite_polyp</t>
    <phoneticPr fontId="2"/>
  </si>
  <si>
    <t>2024_total</t>
    <phoneticPr fontId="2"/>
  </si>
  <si>
    <t>2025_number_of_hermaphrodite_polyp</t>
    <phoneticPr fontId="2"/>
  </si>
  <si>
    <t>2025_total</t>
    <phoneticPr fontId="2"/>
  </si>
  <si>
    <t>note</t>
    <phoneticPr fontId="2"/>
  </si>
  <si>
    <t>2024,2025の産卵観察でも同様の結果</t>
    <rPh sb="10" eb="12">
      <t>サンラn</t>
    </rPh>
    <rPh sb="12" eb="14">
      <t>カンサテゥ</t>
    </rPh>
    <rPh sb="16" eb="18">
      <t>ドウヨウ</t>
    </rPh>
    <phoneticPr fontId="2"/>
  </si>
  <si>
    <t>N.D</t>
    <phoneticPr fontId="2"/>
  </si>
  <si>
    <t>2024_hermaphroditism_rate</t>
    <phoneticPr fontId="2"/>
  </si>
  <si>
    <t>2025_hermaphroditism_rate</t>
    <phoneticPr fontId="2"/>
  </si>
  <si>
    <t>Genet</t>
    <phoneticPr fontId="2"/>
  </si>
  <si>
    <t>group7</t>
    <phoneticPr fontId="2"/>
  </si>
  <si>
    <t>group6</t>
    <phoneticPr fontId="2"/>
  </si>
  <si>
    <t>group5</t>
    <phoneticPr fontId="2"/>
  </si>
  <si>
    <t>group4</t>
    <phoneticPr fontId="2"/>
  </si>
  <si>
    <t>group3</t>
    <phoneticPr fontId="2"/>
  </si>
  <si>
    <t>group2</t>
    <phoneticPr fontId="2"/>
  </si>
  <si>
    <t>group1</t>
    <phoneticPr fontId="2"/>
  </si>
  <si>
    <t>not_identify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</si>
</sst>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標準" xfId="0" builtinId="0"/>
    <cellStyle name="標準 2" xfId="1" xr:uid="{BDD48C8C-5138-E146-A02F-C37F31C7A1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1363-6159-5546-A707-6190DD380E69}">
  <dimension ref="A1:P114"/>
  <sheetViews>
    <sheetView tabSelected="1" topLeftCell="A85" zoomScale="116" zoomScaleNormal="329" workbookViewId="0">
      <selection activeCell="B108" sqref="B108"/>
    </sheetView>
  </sheetViews>
  <sheetFormatPr baseColWidth="10" defaultRowHeight="18"/>
  <cols>
    <col min="1" max="1" width="10.6640625" bestFit="1" customWidth="1"/>
    <col min="2" max="2" width="10.6640625" customWidth="1"/>
    <col min="3" max="3" width="6.5" bestFit="1" customWidth="1"/>
    <col min="4" max="7" width="6" bestFit="1" customWidth="1"/>
    <col min="8" max="8" width="15.6640625" bestFit="1" customWidth="1"/>
    <col min="9" max="9" width="12" bestFit="1" customWidth="1"/>
    <col min="10" max="10" width="38.1640625" bestFit="1" customWidth="1"/>
    <col min="11" max="11" width="10.83203125" bestFit="1" customWidth="1"/>
    <col min="12" max="12" width="31" bestFit="1" customWidth="1"/>
    <col min="13" max="13" width="38.1640625" bestFit="1" customWidth="1"/>
    <col min="15" max="15" width="31.5" bestFit="1" customWidth="1"/>
    <col min="16" max="16" width="35.1640625" bestFit="1" customWidth="1"/>
    <col min="17" max="17" width="24.1640625" bestFit="1" customWidth="1"/>
  </cols>
  <sheetData>
    <row r="1" spans="1:16">
      <c r="A1" t="s">
        <v>107</v>
      </c>
      <c r="B1" t="s">
        <v>134</v>
      </c>
      <c r="C1" t="s">
        <v>80</v>
      </c>
      <c r="D1">
        <v>2021</v>
      </c>
      <c r="E1">
        <v>2022</v>
      </c>
      <c r="F1">
        <v>2023</v>
      </c>
      <c r="G1">
        <v>2024</v>
      </c>
      <c r="H1" t="s">
        <v>122</v>
      </c>
      <c r="I1" t="s">
        <v>123</v>
      </c>
      <c r="J1" t="s">
        <v>125</v>
      </c>
      <c r="K1" t="s">
        <v>126</v>
      </c>
      <c r="L1" t="s">
        <v>132</v>
      </c>
      <c r="M1" t="s">
        <v>127</v>
      </c>
      <c r="N1" t="s">
        <v>128</v>
      </c>
      <c r="O1" t="s">
        <v>133</v>
      </c>
      <c r="P1" t="s">
        <v>129</v>
      </c>
    </row>
    <row r="2" spans="1:16">
      <c r="A2" t="s">
        <v>95</v>
      </c>
      <c r="B2" t="s">
        <v>142</v>
      </c>
      <c r="C2" t="s">
        <v>81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L2" t="e">
        <f>J2/K2*100</f>
        <v>#DIV/0!</v>
      </c>
      <c r="O2" t="e">
        <f>M2/N2*100</f>
        <v>#DIV/0!</v>
      </c>
    </row>
    <row r="3" spans="1:16">
      <c r="A3" t="s">
        <v>108</v>
      </c>
      <c r="B3" t="s">
        <v>142</v>
      </c>
      <c r="C3" t="s">
        <v>81</v>
      </c>
      <c r="D3" t="s">
        <v>76</v>
      </c>
      <c r="E3" t="s">
        <v>76</v>
      </c>
      <c r="F3" t="s">
        <v>131</v>
      </c>
      <c r="G3" t="s">
        <v>131</v>
      </c>
      <c r="H3" t="s">
        <v>131</v>
      </c>
      <c r="L3" t="e">
        <f t="shared" ref="L3:L66" si="0">J3/K3*100</f>
        <v>#DIV/0!</v>
      </c>
      <c r="O3" t="e">
        <f t="shared" ref="O3:O66" si="1">M3/N3*100</f>
        <v>#DIV/0!</v>
      </c>
    </row>
    <row r="4" spans="1:16">
      <c r="A4" t="s">
        <v>109</v>
      </c>
      <c r="B4" t="s">
        <v>142</v>
      </c>
      <c r="C4" t="s">
        <v>81</v>
      </c>
      <c r="D4" t="s">
        <v>76</v>
      </c>
      <c r="E4" t="s">
        <v>76</v>
      </c>
      <c r="F4" t="s">
        <v>131</v>
      </c>
      <c r="G4" t="s">
        <v>131</v>
      </c>
      <c r="H4" t="s">
        <v>131</v>
      </c>
      <c r="L4" t="e">
        <f t="shared" si="0"/>
        <v>#DIV/0!</v>
      </c>
      <c r="O4" t="e">
        <f t="shared" si="1"/>
        <v>#DIV/0!</v>
      </c>
    </row>
    <row r="5" spans="1:16">
      <c r="A5" t="s">
        <v>96</v>
      </c>
      <c r="B5" t="s">
        <v>142</v>
      </c>
      <c r="C5" t="s">
        <v>81</v>
      </c>
      <c r="D5" t="s">
        <v>76</v>
      </c>
      <c r="E5" t="s">
        <v>76</v>
      </c>
      <c r="F5" t="s">
        <v>76</v>
      </c>
      <c r="G5" t="s">
        <v>76</v>
      </c>
      <c r="H5" t="s">
        <v>76</v>
      </c>
      <c r="L5" t="e">
        <f t="shared" si="0"/>
        <v>#DIV/0!</v>
      </c>
      <c r="O5" t="e">
        <f t="shared" si="1"/>
        <v>#DIV/0!</v>
      </c>
    </row>
    <row r="6" spans="1:16">
      <c r="A6" t="s">
        <v>110</v>
      </c>
      <c r="B6" t="s">
        <v>142</v>
      </c>
      <c r="C6" t="s">
        <v>81</v>
      </c>
      <c r="D6" t="s">
        <v>76</v>
      </c>
      <c r="E6" t="s">
        <v>76</v>
      </c>
      <c r="F6" t="s">
        <v>131</v>
      </c>
      <c r="G6" t="s">
        <v>131</v>
      </c>
      <c r="H6" t="s">
        <v>131</v>
      </c>
      <c r="L6" t="e">
        <f t="shared" si="0"/>
        <v>#DIV/0!</v>
      </c>
      <c r="O6" t="e">
        <f t="shared" si="1"/>
        <v>#DIV/0!</v>
      </c>
    </row>
    <row r="7" spans="1:16">
      <c r="A7" t="s">
        <v>97</v>
      </c>
      <c r="B7" t="s">
        <v>142</v>
      </c>
      <c r="C7" t="s">
        <v>81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L7" t="e">
        <f t="shared" si="0"/>
        <v>#DIV/0!</v>
      </c>
      <c r="O7" t="e">
        <f t="shared" si="1"/>
        <v>#DIV/0!</v>
      </c>
    </row>
    <row r="8" spans="1:16">
      <c r="A8" t="s">
        <v>98</v>
      </c>
      <c r="B8" t="s">
        <v>142</v>
      </c>
      <c r="C8" t="s">
        <v>82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L8" t="e">
        <f t="shared" si="0"/>
        <v>#DIV/0!</v>
      </c>
      <c r="O8" t="e">
        <f t="shared" si="1"/>
        <v>#DIV/0!</v>
      </c>
    </row>
    <row r="9" spans="1:16">
      <c r="A9" t="s">
        <v>99</v>
      </c>
      <c r="B9" t="s">
        <v>142</v>
      </c>
      <c r="C9" t="s">
        <v>81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L9" t="e">
        <f t="shared" si="0"/>
        <v>#DIV/0!</v>
      </c>
      <c r="O9" t="e">
        <f t="shared" si="1"/>
        <v>#DIV/0!</v>
      </c>
    </row>
    <row r="10" spans="1:16">
      <c r="A10" t="s">
        <v>100</v>
      </c>
      <c r="B10" t="s">
        <v>142</v>
      </c>
      <c r="C10" t="s">
        <v>81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L10" t="e">
        <f t="shared" si="0"/>
        <v>#DIV/0!</v>
      </c>
      <c r="O10" t="e">
        <f t="shared" si="1"/>
        <v>#DIV/0!</v>
      </c>
    </row>
    <row r="11" spans="1:16">
      <c r="A11" t="s">
        <v>101</v>
      </c>
      <c r="B11" t="s">
        <v>142</v>
      </c>
      <c r="C11" t="s">
        <v>81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L11" t="e">
        <f t="shared" si="0"/>
        <v>#DIV/0!</v>
      </c>
      <c r="O11" t="e">
        <f t="shared" si="1"/>
        <v>#DIV/0!</v>
      </c>
    </row>
    <row r="12" spans="1:16">
      <c r="A12" t="s">
        <v>102</v>
      </c>
      <c r="B12" t="s">
        <v>142</v>
      </c>
      <c r="C12" t="s">
        <v>81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L12" t="e">
        <f t="shared" si="0"/>
        <v>#DIV/0!</v>
      </c>
      <c r="O12" t="e">
        <f t="shared" si="1"/>
        <v>#DIV/0!</v>
      </c>
    </row>
    <row r="13" spans="1:16">
      <c r="A13" t="s">
        <v>103</v>
      </c>
      <c r="B13" t="s">
        <v>142</v>
      </c>
      <c r="C13" t="s">
        <v>81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L13" t="e">
        <f t="shared" si="0"/>
        <v>#DIV/0!</v>
      </c>
      <c r="O13" t="e">
        <f t="shared" si="1"/>
        <v>#DIV/0!</v>
      </c>
    </row>
    <row r="14" spans="1:16">
      <c r="A14" t="s">
        <v>111</v>
      </c>
      <c r="B14" t="s">
        <v>142</v>
      </c>
      <c r="C14" t="s">
        <v>82</v>
      </c>
      <c r="D14" t="s">
        <v>76</v>
      </c>
      <c r="E14" t="s">
        <v>76</v>
      </c>
      <c r="F14" t="s">
        <v>131</v>
      </c>
      <c r="G14" t="s">
        <v>131</v>
      </c>
      <c r="H14" t="s">
        <v>131</v>
      </c>
      <c r="L14" t="e">
        <f t="shared" si="0"/>
        <v>#DIV/0!</v>
      </c>
      <c r="O14" t="e">
        <f t="shared" si="1"/>
        <v>#DIV/0!</v>
      </c>
    </row>
    <row r="15" spans="1:16">
      <c r="A15" t="s">
        <v>104</v>
      </c>
      <c r="B15" t="s">
        <v>142</v>
      </c>
      <c r="C15" t="s">
        <v>82</v>
      </c>
      <c r="D15" t="s">
        <v>76</v>
      </c>
      <c r="E15" t="s">
        <v>76</v>
      </c>
      <c r="F15" t="s">
        <v>76</v>
      </c>
      <c r="G15" t="s">
        <v>76</v>
      </c>
      <c r="H15" t="s">
        <v>76</v>
      </c>
      <c r="L15" t="e">
        <f t="shared" si="0"/>
        <v>#DIV/0!</v>
      </c>
      <c r="O15" t="e">
        <f t="shared" si="1"/>
        <v>#DIV/0!</v>
      </c>
    </row>
    <row r="16" spans="1:16">
      <c r="A16" t="s">
        <v>105</v>
      </c>
      <c r="B16" t="s">
        <v>142</v>
      </c>
      <c r="C16" t="s">
        <v>82</v>
      </c>
      <c r="D16" t="s">
        <v>77</v>
      </c>
      <c r="E16" t="s">
        <v>77</v>
      </c>
      <c r="F16" t="s">
        <v>77</v>
      </c>
      <c r="G16" t="s">
        <v>77</v>
      </c>
      <c r="H16" t="s">
        <v>131</v>
      </c>
      <c r="L16" t="e">
        <f t="shared" si="0"/>
        <v>#DIV/0!</v>
      </c>
      <c r="O16" t="e">
        <f t="shared" si="1"/>
        <v>#DIV/0!</v>
      </c>
    </row>
    <row r="17" spans="1:15">
      <c r="A17" t="s">
        <v>106</v>
      </c>
      <c r="B17" t="s">
        <v>142</v>
      </c>
      <c r="C17" t="s">
        <v>82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L17" t="e">
        <f t="shared" si="0"/>
        <v>#DIV/0!</v>
      </c>
      <c r="O17" t="e">
        <f t="shared" si="1"/>
        <v>#DIV/0!</v>
      </c>
    </row>
    <row r="18" spans="1:15">
      <c r="A18" t="s">
        <v>112</v>
      </c>
      <c r="B18" t="s">
        <v>142</v>
      </c>
      <c r="C18" t="s">
        <v>82</v>
      </c>
      <c r="D18" t="s">
        <v>76</v>
      </c>
      <c r="E18" t="s">
        <v>76</v>
      </c>
      <c r="F18" t="s">
        <v>131</v>
      </c>
      <c r="G18" t="s">
        <v>131</v>
      </c>
      <c r="H18" t="s">
        <v>131</v>
      </c>
      <c r="L18" t="e">
        <f t="shared" si="0"/>
        <v>#DIV/0!</v>
      </c>
      <c r="O18" t="e">
        <f t="shared" si="1"/>
        <v>#DIV/0!</v>
      </c>
    </row>
    <row r="19" spans="1:15">
      <c r="A19" t="s">
        <v>113</v>
      </c>
      <c r="B19" t="s">
        <v>142</v>
      </c>
      <c r="C19" t="s">
        <v>81</v>
      </c>
      <c r="D19" t="s">
        <v>131</v>
      </c>
      <c r="E19" t="s">
        <v>131</v>
      </c>
      <c r="F19" t="s">
        <v>131</v>
      </c>
      <c r="G19" t="s">
        <v>76</v>
      </c>
      <c r="H19" t="s">
        <v>76</v>
      </c>
      <c r="L19" t="e">
        <f t="shared" si="0"/>
        <v>#DIV/0!</v>
      </c>
      <c r="O19" t="e">
        <f t="shared" si="1"/>
        <v>#DIV/0!</v>
      </c>
    </row>
    <row r="20" spans="1:15">
      <c r="A20" t="s">
        <v>114</v>
      </c>
      <c r="B20" t="s">
        <v>142</v>
      </c>
      <c r="C20" t="s">
        <v>81</v>
      </c>
      <c r="D20" t="s">
        <v>131</v>
      </c>
      <c r="E20" t="s">
        <v>131</v>
      </c>
      <c r="F20" t="s">
        <v>131</v>
      </c>
      <c r="G20" t="s">
        <v>76</v>
      </c>
      <c r="H20" t="s">
        <v>0</v>
      </c>
      <c r="L20" t="e">
        <f t="shared" si="0"/>
        <v>#DIV/0!</v>
      </c>
      <c r="O20" t="e">
        <f t="shared" si="1"/>
        <v>#DIV/0!</v>
      </c>
    </row>
    <row r="21" spans="1:15">
      <c r="A21" t="s">
        <v>115</v>
      </c>
      <c r="B21" t="s">
        <v>142</v>
      </c>
      <c r="C21" t="s">
        <v>81</v>
      </c>
      <c r="D21" t="s">
        <v>131</v>
      </c>
      <c r="E21" t="s">
        <v>131</v>
      </c>
      <c r="F21" t="s">
        <v>131</v>
      </c>
      <c r="G21" t="s">
        <v>76</v>
      </c>
      <c r="H21" t="s">
        <v>131</v>
      </c>
      <c r="L21" t="e">
        <f t="shared" si="0"/>
        <v>#DIV/0!</v>
      </c>
      <c r="O21" t="e">
        <f t="shared" si="1"/>
        <v>#DIV/0!</v>
      </c>
    </row>
    <row r="22" spans="1:15">
      <c r="A22" t="s">
        <v>116</v>
      </c>
      <c r="B22" t="s">
        <v>142</v>
      </c>
      <c r="C22" t="s">
        <v>81</v>
      </c>
      <c r="D22" t="s">
        <v>131</v>
      </c>
      <c r="E22" t="s">
        <v>131</v>
      </c>
      <c r="F22" t="s">
        <v>131</v>
      </c>
      <c r="G22" t="s">
        <v>76</v>
      </c>
      <c r="H22" t="s">
        <v>76</v>
      </c>
      <c r="L22" t="e">
        <f t="shared" si="0"/>
        <v>#DIV/0!</v>
      </c>
      <c r="O22" t="e">
        <f t="shared" si="1"/>
        <v>#DIV/0!</v>
      </c>
    </row>
    <row r="23" spans="1:15">
      <c r="A23" t="s">
        <v>117</v>
      </c>
      <c r="B23" t="s">
        <v>142</v>
      </c>
      <c r="C23" t="s">
        <v>81</v>
      </c>
      <c r="D23" t="s">
        <v>131</v>
      </c>
      <c r="E23" t="s">
        <v>131</v>
      </c>
      <c r="F23" t="s">
        <v>131</v>
      </c>
      <c r="G23" t="s">
        <v>76</v>
      </c>
      <c r="H23" t="s">
        <v>76</v>
      </c>
      <c r="L23" t="e">
        <f t="shared" si="0"/>
        <v>#DIV/0!</v>
      </c>
      <c r="O23" t="e">
        <f t="shared" si="1"/>
        <v>#DIV/0!</v>
      </c>
    </row>
    <row r="24" spans="1:15">
      <c r="A24" t="s">
        <v>118</v>
      </c>
      <c r="B24" t="s">
        <v>142</v>
      </c>
      <c r="C24" t="s">
        <v>81</v>
      </c>
      <c r="D24" t="s">
        <v>131</v>
      </c>
      <c r="E24" t="s">
        <v>131</v>
      </c>
      <c r="F24" t="s">
        <v>131</v>
      </c>
      <c r="G24" t="s">
        <v>76</v>
      </c>
      <c r="H24" t="s">
        <v>76</v>
      </c>
      <c r="L24" t="e">
        <f t="shared" si="0"/>
        <v>#DIV/0!</v>
      </c>
      <c r="O24" t="e">
        <f t="shared" si="1"/>
        <v>#DIV/0!</v>
      </c>
    </row>
    <row r="25" spans="1:15">
      <c r="A25" t="s">
        <v>119</v>
      </c>
      <c r="B25" t="s">
        <v>142</v>
      </c>
      <c r="C25" t="s">
        <v>81</v>
      </c>
      <c r="D25" t="s">
        <v>131</v>
      </c>
      <c r="E25" t="s">
        <v>131</v>
      </c>
      <c r="F25" t="s">
        <v>131</v>
      </c>
      <c r="G25" t="s">
        <v>76</v>
      </c>
      <c r="H25" t="s">
        <v>76</v>
      </c>
      <c r="L25" t="e">
        <f t="shared" si="0"/>
        <v>#DIV/0!</v>
      </c>
      <c r="O25" t="e">
        <f t="shared" si="1"/>
        <v>#DIV/0!</v>
      </c>
    </row>
    <row r="26" spans="1:15">
      <c r="A26" t="s">
        <v>120</v>
      </c>
      <c r="B26" t="s">
        <v>142</v>
      </c>
      <c r="C26" t="s">
        <v>81</v>
      </c>
      <c r="D26" t="s">
        <v>131</v>
      </c>
      <c r="E26" t="s">
        <v>131</v>
      </c>
      <c r="F26" t="s">
        <v>131</v>
      </c>
      <c r="G26" t="s">
        <v>76</v>
      </c>
      <c r="H26" t="s">
        <v>76</v>
      </c>
      <c r="L26" t="e">
        <f t="shared" si="0"/>
        <v>#DIV/0!</v>
      </c>
      <c r="O26" t="e">
        <f t="shared" si="1"/>
        <v>#DIV/0!</v>
      </c>
    </row>
    <row r="27" spans="1:15">
      <c r="A27" t="s">
        <v>121</v>
      </c>
      <c r="B27" t="s">
        <v>142</v>
      </c>
      <c r="C27" t="s">
        <v>81</v>
      </c>
      <c r="D27" t="s">
        <v>131</v>
      </c>
      <c r="E27" t="s">
        <v>131</v>
      </c>
      <c r="F27" t="s">
        <v>131</v>
      </c>
      <c r="G27" t="s">
        <v>76</v>
      </c>
      <c r="H27" t="s">
        <v>76</v>
      </c>
      <c r="L27" t="e">
        <f t="shared" si="0"/>
        <v>#DIV/0!</v>
      </c>
      <c r="O27" t="e">
        <f t="shared" si="1"/>
        <v>#DIV/0!</v>
      </c>
    </row>
    <row r="28" spans="1:15">
      <c r="A28" t="s">
        <v>1</v>
      </c>
      <c r="B28" t="s">
        <v>141</v>
      </c>
      <c r="C28" t="s">
        <v>81</v>
      </c>
      <c r="D28" t="s">
        <v>131</v>
      </c>
      <c r="E28" t="s">
        <v>131</v>
      </c>
      <c r="F28" t="s">
        <v>131</v>
      </c>
      <c r="G28" t="s">
        <v>76</v>
      </c>
      <c r="H28" t="s">
        <v>76</v>
      </c>
      <c r="L28" t="e">
        <f t="shared" si="0"/>
        <v>#DIV/0!</v>
      </c>
      <c r="O28" t="e">
        <f t="shared" si="1"/>
        <v>#DIV/0!</v>
      </c>
    </row>
    <row r="29" spans="1:15">
      <c r="A29" t="s">
        <v>2</v>
      </c>
      <c r="B29" t="s">
        <v>141</v>
      </c>
      <c r="C29" t="s">
        <v>81</v>
      </c>
      <c r="D29" t="s">
        <v>131</v>
      </c>
      <c r="E29" t="s">
        <v>131</v>
      </c>
      <c r="F29" t="s">
        <v>131</v>
      </c>
      <c r="G29" t="s">
        <v>76</v>
      </c>
      <c r="H29" t="s">
        <v>124</v>
      </c>
      <c r="L29" t="e">
        <f t="shared" si="0"/>
        <v>#DIV/0!</v>
      </c>
      <c r="O29" t="e">
        <f t="shared" si="1"/>
        <v>#DIV/0!</v>
      </c>
    </row>
    <row r="30" spans="1:15">
      <c r="A30" t="s">
        <v>3</v>
      </c>
      <c r="B30" t="s">
        <v>142</v>
      </c>
      <c r="C30" t="s">
        <v>81</v>
      </c>
      <c r="D30" t="s">
        <v>131</v>
      </c>
      <c r="E30" t="s">
        <v>131</v>
      </c>
      <c r="F30" t="s">
        <v>131</v>
      </c>
      <c r="G30" t="s">
        <v>76</v>
      </c>
      <c r="H30" t="s">
        <v>124</v>
      </c>
      <c r="L30" t="e">
        <f t="shared" si="0"/>
        <v>#DIV/0!</v>
      </c>
      <c r="O30" t="e">
        <f t="shared" si="1"/>
        <v>#DIV/0!</v>
      </c>
    </row>
    <row r="31" spans="1:15">
      <c r="A31" t="s">
        <v>4</v>
      </c>
      <c r="B31" t="s">
        <v>141</v>
      </c>
      <c r="C31" t="s">
        <v>81</v>
      </c>
      <c r="D31" t="s">
        <v>131</v>
      </c>
      <c r="E31" t="s">
        <v>131</v>
      </c>
      <c r="F31" t="s">
        <v>131</v>
      </c>
      <c r="G31" t="s">
        <v>76</v>
      </c>
      <c r="H31" t="s">
        <v>76</v>
      </c>
      <c r="L31" t="e">
        <f t="shared" si="0"/>
        <v>#DIV/0!</v>
      </c>
      <c r="O31" t="e">
        <f t="shared" si="1"/>
        <v>#DIV/0!</v>
      </c>
    </row>
    <row r="32" spans="1:15">
      <c r="A32" t="s">
        <v>5</v>
      </c>
      <c r="B32" t="s">
        <v>135</v>
      </c>
      <c r="C32" t="s">
        <v>81</v>
      </c>
      <c r="D32" t="s">
        <v>131</v>
      </c>
      <c r="E32" t="s">
        <v>131</v>
      </c>
      <c r="F32" t="s">
        <v>131</v>
      </c>
      <c r="G32" t="s">
        <v>76</v>
      </c>
      <c r="H32" t="s">
        <v>124</v>
      </c>
      <c r="L32" t="e">
        <f t="shared" si="0"/>
        <v>#DIV/0!</v>
      </c>
      <c r="O32" t="e">
        <f t="shared" si="1"/>
        <v>#DIV/0!</v>
      </c>
    </row>
    <row r="33" spans="1:16">
      <c r="A33" t="s">
        <v>6</v>
      </c>
      <c r="B33" t="s">
        <v>142</v>
      </c>
      <c r="C33" t="s">
        <v>81</v>
      </c>
      <c r="D33" t="s">
        <v>131</v>
      </c>
      <c r="E33" t="s">
        <v>131</v>
      </c>
      <c r="F33" t="s">
        <v>131</v>
      </c>
      <c r="G33" t="s">
        <v>77</v>
      </c>
      <c r="H33" t="s">
        <v>77</v>
      </c>
      <c r="L33" t="e">
        <f t="shared" si="0"/>
        <v>#DIV/0!</v>
      </c>
      <c r="O33" t="e">
        <f t="shared" si="1"/>
        <v>#DIV/0!</v>
      </c>
    </row>
    <row r="34" spans="1:16">
      <c r="A34" t="s">
        <v>7</v>
      </c>
      <c r="B34" t="s">
        <v>135</v>
      </c>
      <c r="C34" t="s">
        <v>81</v>
      </c>
      <c r="D34" t="s">
        <v>131</v>
      </c>
      <c r="E34" t="s">
        <v>131</v>
      </c>
      <c r="F34" t="s">
        <v>131</v>
      </c>
      <c r="G34" t="s">
        <v>77</v>
      </c>
      <c r="H34" t="s">
        <v>78</v>
      </c>
      <c r="I34" t="str" cm="1">
        <f t="array" ref="I34">IF(COUNTIF(D34:H34,"?*")=0,"",
IF(SUMPRODUCT((D34:H34&lt;&gt;"")*(D34:H34&lt;&gt;INDEX(D34:H34,MATCH("*",D34:H34,0))))&gt;0,"✓",""))</f>
        <v>✓</v>
      </c>
      <c r="J34">
        <v>0</v>
      </c>
      <c r="K34">
        <v>5</v>
      </c>
      <c r="L34">
        <f t="shared" si="0"/>
        <v>0</v>
      </c>
      <c r="M34">
        <v>1</v>
      </c>
      <c r="N34">
        <v>16</v>
      </c>
      <c r="O34">
        <f t="shared" si="1"/>
        <v>6.25</v>
      </c>
    </row>
    <row r="35" spans="1:16">
      <c r="A35" t="s">
        <v>8</v>
      </c>
      <c r="B35" t="s">
        <v>142</v>
      </c>
      <c r="C35" t="s">
        <v>81</v>
      </c>
      <c r="D35" t="s">
        <v>131</v>
      </c>
      <c r="E35" t="s">
        <v>131</v>
      </c>
      <c r="F35" t="s">
        <v>131</v>
      </c>
      <c r="G35" t="s">
        <v>77</v>
      </c>
      <c r="H35" t="s">
        <v>78</v>
      </c>
      <c r="I35" t="str" cm="1">
        <f t="array" ref="I35">IF(COUNTIF(D35:H35,"?*")=0,"",
IF(SUMPRODUCT((D35:H35&lt;&gt;"")*(D35:H35&lt;&gt;INDEX(D35:H35,MATCH("*",D35:H35,0))))&gt;0,"✓",""))</f>
        <v>✓</v>
      </c>
      <c r="J35">
        <v>0</v>
      </c>
      <c r="K35">
        <v>3</v>
      </c>
      <c r="L35">
        <f t="shared" si="0"/>
        <v>0</v>
      </c>
      <c r="M35">
        <v>1</v>
      </c>
      <c r="N35">
        <v>17</v>
      </c>
      <c r="O35">
        <f t="shared" si="1"/>
        <v>5.8823529411764701</v>
      </c>
    </row>
    <row r="36" spans="1:16">
      <c r="A36" t="s">
        <v>9</v>
      </c>
      <c r="B36" t="s">
        <v>135</v>
      </c>
      <c r="C36" t="s">
        <v>81</v>
      </c>
      <c r="D36" t="s">
        <v>131</v>
      </c>
      <c r="E36" t="s">
        <v>131</v>
      </c>
      <c r="F36" t="s">
        <v>131</v>
      </c>
      <c r="G36" t="s">
        <v>78</v>
      </c>
      <c r="H36" t="s">
        <v>77</v>
      </c>
      <c r="I36" t="str" cm="1">
        <f t="array" ref="I36">IF(COUNTIF(D36:H36,"?*")=0,"",
IF(SUMPRODUCT((D36:H36&lt;&gt;"")*(D36:H36&lt;&gt;INDEX(D36:H36,MATCH("*",D36:H36,0))))&gt;0,"✓",""))</f>
        <v>✓</v>
      </c>
      <c r="J36">
        <v>1</v>
      </c>
      <c r="K36">
        <v>6</v>
      </c>
      <c r="L36">
        <f t="shared" si="0"/>
        <v>16.666666666666664</v>
      </c>
      <c r="M36">
        <v>0</v>
      </c>
      <c r="N36">
        <v>10</v>
      </c>
      <c r="O36">
        <f t="shared" si="1"/>
        <v>0</v>
      </c>
      <c r="P36" t="s">
        <v>130</v>
      </c>
    </row>
    <row r="37" spans="1:16">
      <c r="A37" t="s">
        <v>10</v>
      </c>
      <c r="B37" t="s">
        <v>135</v>
      </c>
      <c r="C37" t="s">
        <v>81</v>
      </c>
      <c r="D37" t="s">
        <v>131</v>
      </c>
      <c r="E37" t="s">
        <v>131</v>
      </c>
      <c r="F37" t="s">
        <v>131</v>
      </c>
      <c r="G37" t="s">
        <v>77</v>
      </c>
      <c r="H37" t="s">
        <v>77</v>
      </c>
      <c r="L37" t="e">
        <f t="shared" si="0"/>
        <v>#DIV/0!</v>
      </c>
      <c r="O37" t="e">
        <f t="shared" si="1"/>
        <v>#DIV/0!</v>
      </c>
    </row>
    <row r="38" spans="1:16">
      <c r="A38" t="s">
        <v>11</v>
      </c>
      <c r="B38" t="s">
        <v>142</v>
      </c>
      <c r="C38" t="s">
        <v>81</v>
      </c>
      <c r="D38" t="s">
        <v>131</v>
      </c>
      <c r="E38" t="s">
        <v>131</v>
      </c>
      <c r="F38" t="s">
        <v>131</v>
      </c>
      <c r="G38" t="s">
        <v>76</v>
      </c>
      <c r="H38" t="s">
        <v>76</v>
      </c>
      <c r="L38" t="e">
        <f t="shared" si="0"/>
        <v>#DIV/0!</v>
      </c>
      <c r="O38" t="e">
        <f t="shared" si="1"/>
        <v>#DIV/0!</v>
      </c>
    </row>
    <row r="39" spans="1:16">
      <c r="A39" t="s">
        <v>12</v>
      </c>
      <c r="B39" t="s">
        <v>135</v>
      </c>
      <c r="C39" t="s">
        <v>81</v>
      </c>
      <c r="D39" t="s">
        <v>131</v>
      </c>
      <c r="E39" t="s">
        <v>131</v>
      </c>
      <c r="F39" t="s">
        <v>131</v>
      </c>
      <c r="G39" t="s">
        <v>77</v>
      </c>
      <c r="H39" t="s">
        <v>77</v>
      </c>
      <c r="L39" t="e">
        <f t="shared" si="0"/>
        <v>#DIV/0!</v>
      </c>
      <c r="O39" t="e">
        <f t="shared" si="1"/>
        <v>#DIV/0!</v>
      </c>
    </row>
    <row r="40" spans="1:16">
      <c r="A40" t="s">
        <v>13</v>
      </c>
      <c r="B40" t="s">
        <v>135</v>
      </c>
      <c r="C40" t="s">
        <v>81</v>
      </c>
      <c r="D40" t="s">
        <v>131</v>
      </c>
      <c r="E40" t="s">
        <v>131</v>
      </c>
      <c r="F40" t="s">
        <v>131</v>
      </c>
      <c r="G40" t="s">
        <v>78</v>
      </c>
      <c r="H40" t="s">
        <v>77</v>
      </c>
      <c r="I40" t="str" cm="1">
        <f t="array" ref="I40">IF(COUNTIF(D40:H40,"?*")=0,"",
IF(SUMPRODUCT((D40:H40&lt;&gt;"")*(D40:H40&lt;&gt;INDEX(D40:H40,MATCH("*",D40:H40,0))))&gt;0,"✓",""))</f>
        <v>✓</v>
      </c>
      <c r="J40">
        <v>1</v>
      </c>
      <c r="K40">
        <v>8</v>
      </c>
      <c r="L40">
        <f t="shared" si="0"/>
        <v>12.5</v>
      </c>
      <c r="M40">
        <v>0</v>
      </c>
      <c r="N40">
        <v>22</v>
      </c>
      <c r="O40">
        <f t="shared" si="1"/>
        <v>0</v>
      </c>
    </row>
    <row r="41" spans="1:16">
      <c r="A41" t="s">
        <v>14</v>
      </c>
      <c r="B41" t="s">
        <v>142</v>
      </c>
      <c r="C41" t="s">
        <v>81</v>
      </c>
      <c r="D41" t="s">
        <v>131</v>
      </c>
      <c r="E41" t="s">
        <v>131</v>
      </c>
      <c r="F41" t="s">
        <v>131</v>
      </c>
      <c r="G41" t="s">
        <v>77</v>
      </c>
      <c r="H41" t="s">
        <v>77</v>
      </c>
      <c r="L41" t="e">
        <f t="shared" si="0"/>
        <v>#DIV/0!</v>
      </c>
      <c r="O41" t="e">
        <f t="shared" si="1"/>
        <v>#DIV/0!</v>
      </c>
    </row>
    <row r="42" spans="1:16">
      <c r="A42" t="s">
        <v>15</v>
      </c>
      <c r="B42" t="s">
        <v>142</v>
      </c>
      <c r="C42" t="s">
        <v>81</v>
      </c>
      <c r="D42" t="s">
        <v>131</v>
      </c>
      <c r="E42" t="s">
        <v>131</v>
      </c>
      <c r="F42" t="s">
        <v>131</v>
      </c>
      <c r="G42" t="s">
        <v>78</v>
      </c>
      <c r="H42" t="s">
        <v>78</v>
      </c>
      <c r="J42">
        <v>8</v>
      </c>
      <c r="K42">
        <v>24</v>
      </c>
      <c r="L42">
        <f t="shared" si="0"/>
        <v>33.333333333333329</v>
      </c>
      <c r="M42">
        <v>6</v>
      </c>
      <c r="N42">
        <v>24</v>
      </c>
      <c r="O42">
        <f t="shared" si="1"/>
        <v>25</v>
      </c>
    </row>
    <row r="43" spans="1:16">
      <c r="A43" t="s">
        <v>16</v>
      </c>
      <c r="B43" t="s">
        <v>142</v>
      </c>
      <c r="C43" t="s">
        <v>81</v>
      </c>
      <c r="D43" t="s">
        <v>131</v>
      </c>
      <c r="E43" t="s">
        <v>131</v>
      </c>
      <c r="F43" t="s">
        <v>131</v>
      </c>
      <c r="G43" t="s">
        <v>77</v>
      </c>
      <c r="H43" t="s">
        <v>131</v>
      </c>
      <c r="L43" t="e">
        <f t="shared" si="0"/>
        <v>#DIV/0!</v>
      </c>
      <c r="O43" t="e">
        <f t="shared" si="1"/>
        <v>#DIV/0!</v>
      </c>
    </row>
    <row r="44" spans="1:16">
      <c r="A44" t="s">
        <v>17</v>
      </c>
      <c r="B44" t="s">
        <v>142</v>
      </c>
      <c r="C44" t="s">
        <v>81</v>
      </c>
      <c r="D44" t="s">
        <v>131</v>
      </c>
      <c r="E44" t="s">
        <v>131</v>
      </c>
      <c r="F44" t="s">
        <v>131</v>
      </c>
      <c r="G44" t="s">
        <v>77</v>
      </c>
      <c r="H44" t="s">
        <v>77</v>
      </c>
      <c r="L44" t="e">
        <f t="shared" si="0"/>
        <v>#DIV/0!</v>
      </c>
      <c r="O44" t="e">
        <f t="shared" si="1"/>
        <v>#DIV/0!</v>
      </c>
    </row>
    <row r="45" spans="1:16">
      <c r="A45" t="s">
        <v>18</v>
      </c>
      <c r="B45" t="s">
        <v>142</v>
      </c>
      <c r="C45" t="s">
        <v>81</v>
      </c>
      <c r="D45" t="s">
        <v>131</v>
      </c>
      <c r="E45" t="s">
        <v>131</v>
      </c>
      <c r="F45" t="s">
        <v>131</v>
      </c>
      <c r="G45" t="s">
        <v>78</v>
      </c>
      <c r="H45" t="s">
        <v>78</v>
      </c>
      <c r="J45">
        <v>1</v>
      </c>
      <c r="K45">
        <v>19</v>
      </c>
      <c r="L45">
        <f t="shared" si="0"/>
        <v>5.2631578947368416</v>
      </c>
      <c r="M45">
        <v>4</v>
      </c>
      <c r="N45">
        <v>13</v>
      </c>
      <c r="O45">
        <f t="shared" si="1"/>
        <v>30.76923076923077</v>
      </c>
    </row>
    <row r="46" spans="1:16">
      <c r="A46" t="s">
        <v>19</v>
      </c>
      <c r="B46" t="s">
        <v>136</v>
      </c>
      <c r="C46" t="s">
        <v>81</v>
      </c>
      <c r="D46" t="s">
        <v>131</v>
      </c>
      <c r="E46" t="s">
        <v>131</v>
      </c>
      <c r="F46" t="s">
        <v>131</v>
      </c>
      <c r="G46" t="s">
        <v>76</v>
      </c>
      <c r="H46" t="s">
        <v>76</v>
      </c>
      <c r="L46" t="e">
        <f t="shared" si="0"/>
        <v>#DIV/0!</v>
      </c>
      <c r="O46" t="e">
        <f t="shared" si="1"/>
        <v>#DIV/0!</v>
      </c>
    </row>
    <row r="47" spans="1:16">
      <c r="A47" t="s">
        <v>20</v>
      </c>
      <c r="B47" t="s">
        <v>135</v>
      </c>
      <c r="C47" t="s">
        <v>81</v>
      </c>
      <c r="D47" t="s">
        <v>131</v>
      </c>
      <c r="E47" t="s">
        <v>131</v>
      </c>
      <c r="F47" t="s">
        <v>131</v>
      </c>
      <c r="G47" t="s">
        <v>77</v>
      </c>
      <c r="H47" t="s">
        <v>77</v>
      </c>
      <c r="L47" t="e">
        <f t="shared" si="0"/>
        <v>#DIV/0!</v>
      </c>
      <c r="O47" t="e">
        <f t="shared" si="1"/>
        <v>#DIV/0!</v>
      </c>
    </row>
    <row r="48" spans="1:16">
      <c r="A48" t="s">
        <v>21</v>
      </c>
      <c r="B48" t="s">
        <v>140</v>
      </c>
      <c r="C48" t="s">
        <v>81</v>
      </c>
      <c r="D48" t="s">
        <v>131</v>
      </c>
      <c r="E48" t="s">
        <v>131</v>
      </c>
      <c r="F48" t="s">
        <v>131</v>
      </c>
      <c r="G48" t="s">
        <v>78</v>
      </c>
      <c r="H48" t="s">
        <v>78</v>
      </c>
      <c r="J48">
        <v>9</v>
      </c>
      <c r="K48">
        <v>19</v>
      </c>
      <c r="L48">
        <f t="shared" si="0"/>
        <v>47.368421052631575</v>
      </c>
      <c r="M48">
        <v>6</v>
      </c>
      <c r="N48">
        <v>18</v>
      </c>
      <c r="O48">
        <f t="shared" si="1"/>
        <v>33.333333333333329</v>
      </c>
    </row>
    <row r="49" spans="1:15">
      <c r="A49" t="s">
        <v>22</v>
      </c>
      <c r="B49" t="s">
        <v>142</v>
      </c>
      <c r="C49" t="s">
        <v>81</v>
      </c>
      <c r="D49" t="s">
        <v>131</v>
      </c>
      <c r="E49" t="s">
        <v>131</v>
      </c>
      <c r="F49" t="s">
        <v>131</v>
      </c>
      <c r="G49" t="s">
        <v>78</v>
      </c>
      <c r="H49" t="s">
        <v>131</v>
      </c>
      <c r="L49" t="e">
        <f t="shared" si="0"/>
        <v>#DIV/0!</v>
      </c>
      <c r="O49" t="e">
        <f t="shared" si="1"/>
        <v>#DIV/0!</v>
      </c>
    </row>
    <row r="50" spans="1:15">
      <c r="A50" t="s">
        <v>23</v>
      </c>
      <c r="B50" t="s">
        <v>142</v>
      </c>
      <c r="C50" t="s">
        <v>81</v>
      </c>
      <c r="D50" t="s">
        <v>131</v>
      </c>
      <c r="E50" t="s">
        <v>131</v>
      </c>
      <c r="F50" t="s">
        <v>131</v>
      </c>
      <c r="G50" t="s">
        <v>78</v>
      </c>
      <c r="H50" t="s">
        <v>131</v>
      </c>
      <c r="L50" t="e">
        <f t="shared" si="0"/>
        <v>#DIV/0!</v>
      </c>
      <c r="O50" t="e">
        <f t="shared" si="1"/>
        <v>#DIV/0!</v>
      </c>
    </row>
    <row r="51" spans="1:15">
      <c r="A51" t="s">
        <v>24</v>
      </c>
      <c r="B51" t="s">
        <v>142</v>
      </c>
      <c r="C51" t="s">
        <v>81</v>
      </c>
      <c r="D51" t="s">
        <v>131</v>
      </c>
      <c r="E51" t="s">
        <v>131</v>
      </c>
      <c r="F51" t="s">
        <v>131</v>
      </c>
      <c r="G51" t="s">
        <v>76</v>
      </c>
      <c r="H51" t="s">
        <v>76</v>
      </c>
      <c r="L51" t="e">
        <f t="shared" si="0"/>
        <v>#DIV/0!</v>
      </c>
      <c r="O51" t="e">
        <f t="shared" si="1"/>
        <v>#DIV/0!</v>
      </c>
    </row>
    <row r="52" spans="1:15">
      <c r="A52" t="s">
        <v>25</v>
      </c>
      <c r="B52" t="s">
        <v>140</v>
      </c>
      <c r="C52" t="s">
        <v>81</v>
      </c>
      <c r="D52" t="s">
        <v>131</v>
      </c>
      <c r="E52" t="s">
        <v>131</v>
      </c>
      <c r="F52" t="s">
        <v>131</v>
      </c>
      <c r="G52" t="s">
        <v>78</v>
      </c>
      <c r="H52" t="s">
        <v>78</v>
      </c>
      <c r="J52">
        <v>2</v>
      </c>
      <c r="K52">
        <v>20</v>
      </c>
      <c r="L52">
        <f t="shared" si="0"/>
        <v>10</v>
      </c>
      <c r="M52">
        <v>1</v>
      </c>
      <c r="N52">
        <v>10</v>
      </c>
      <c r="O52">
        <f t="shared" si="1"/>
        <v>10</v>
      </c>
    </row>
    <row r="53" spans="1:15">
      <c r="A53" t="s">
        <v>26</v>
      </c>
      <c r="B53" t="s">
        <v>142</v>
      </c>
      <c r="C53" t="s">
        <v>81</v>
      </c>
      <c r="D53" t="s">
        <v>131</v>
      </c>
      <c r="E53" t="s">
        <v>131</v>
      </c>
      <c r="F53" t="s">
        <v>131</v>
      </c>
      <c r="G53" t="s">
        <v>78</v>
      </c>
      <c r="H53" t="s">
        <v>131</v>
      </c>
      <c r="L53" t="e">
        <f t="shared" si="0"/>
        <v>#DIV/0!</v>
      </c>
      <c r="O53" t="e">
        <f t="shared" si="1"/>
        <v>#DIV/0!</v>
      </c>
    </row>
    <row r="54" spans="1:15">
      <c r="A54" t="s">
        <v>27</v>
      </c>
      <c r="B54" t="s">
        <v>142</v>
      </c>
      <c r="C54" t="s">
        <v>81</v>
      </c>
      <c r="D54" t="s">
        <v>131</v>
      </c>
      <c r="E54" t="s">
        <v>131</v>
      </c>
      <c r="F54" t="s">
        <v>131</v>
      </c>
      <c r="G54" t="s">
        <v>77</v>
      </c>
      <c r="H54" t="s">
        <v>131</v>
      </c>
      <c r="L54" t="e">
        <f t="shared" si="0"/>
        <v>#DIV/0!</v>
      </c>
      <c r="O54" t="e">
        <f t="shared" si="1"/>
        <v>#DIV/0!</v>
      </c>
    </row>
    <row r="55" spans="1:15">
      <c r="A55" t="s">
        <v>28</v>
      </c>
      <c r="B55" t="s">
        <v>142</v>
      </c>
      <c r="C55" t="s">
        <v>81</v>
      </c>
      <c r="D55" t="s">
        <v>131</v>
      </c>
      <c r="E55" t="s">
        <v>131</v>
      </c>
      <c r="F55" t="s">
        <v>131</v>
      </c>
      <c r="G55" t="s">
        <v>76</v>
      </c>
      <c r="H55" t="s">
        <v>131</v>
      </c>
      <c r="L55" t="e">
        <f t="shared" si="0"/>
        <v>#DIV/0!</v>
      </c>
      <c r="O55" t="e">
        <f t="shared" si="1"/>
        <v>#DIV/0!</v>
      </c>
    </row>
    <row r="56" spans="1:15">
      <c r="A56" t="s">
        <v>29</v>
      </c>
      <c r="B56" t="s">
        <v>142</v>
      </c>
      <c r="C56" t="s">
        <v>81</v>
      </c>
      <c r="D56" t="s">
        <v>131</v>
      </c>
      <c r="E56" t="s">
        <v>131</v>
      </c>
      <c r="F56" t="s">
        <v>131</v>
      </c>
      <c r="G56" t="s">
        <v>76</v>
      </c>
      <c r="H56" t="s">
        <v>131</v>
      </c>
      <c r="L56" t="e">
        <f t="shared" si="0"/>
        <v>#DIV/0!</v>
      </c>
      <c r="O56" t="e">
        <f t="shared" si="1"/>
        <v>#DIV/0!</v>
      </c>
    </row>
    <row r="57" spans="1:15">
      <c r="A57" t="s">
        <v>30</v>
      </c>
      <c r="B57" t="s">
        <v>138</v>
      </c>
      <c r="C57" t="s">
        <v>82</v>
      </c>
      <c r="D57" t="s">
        <v>131</v>
      </c>
      <c r="E57" t="s">
        <v>131</v>
      </c>
      <c r="F57" t="s">
        <v>131</v>
      </c>
      <c r="G57" t="s">
        <v>76</v>
      </c>
      <c r="H57" t="s">
        <v>76</v>
      </c>
      <c r="L57" t="e">
        <f t="shared" si="0"/>
        <v>#DIV/0!</v>
      </c>
      <c r="O57" t="e">
        <f t="shared" si="1"/>
        <v>#DIV/0!</v>
      </c>
    </row>
    <row r="58" spans="1:15">
      <c r="A58" t="s">
        <v>31</v>
      </c>
      <c r="B58" t="s">
        <v>138</v>
      </c>
      <c r="C58" t="s">
        <v>82</v>
      </c>
      <c r="D58" t="s">
        <v>131</v>
      </c>
      <c r="E58" t="s">
        <v>131</v>
      </c>
      <c r="F58" t="s">
        <v>131</v>
      </c>
      <c r="G58" t="s">
        <v>76</v>
      </c>
      <c r="H58" t="s">
        <v>76</v>
      </c>
      <c r="L58" t="e">
        <f t="shared" si="0"/>
        <v>#DIV/0!</v>
      </c>
      <c r="O58" t="e">
        <f t="shared" si="1"/>
        <v>#DIV/0!</v>
      </c>
    </row>
    <row r="59" spans="1:15">
      <c r="A59" t="s">
        <v>32</v>
      </c>
      <c r="B59" t="s">
        <v>142</v>
      </c>
      <c r="C59" t="s">
        <v>81</v>
      </c>
      <c r="D59" t="s">
        <v>131</v>
      </c>
      <c r="E59" t="s">
        <v>131</v>
      </c>
      <c r="F59" t="s">
        <v>131</v>
      </c>
      <c r="G59" t="s">
        <v>76</v>
      </c>
      <c r="H59" t="s">
        <v>76</v>
      </c>
      <c r="L59" t="e">
        <f t="shared" si="0"/>
        <v>#DIV/0!</v>
      </c>
      <c r="O59" t="e">
        <f t="shared" si="1"/>
        <v>#DIV/0!</v>
      </c>
    </row>
    <row r="60" spans="1:15">
      <c r="A60" t="s">
        <v>33</v>
      </c>
      <c r="B60" t="s">
        <v>136</v>
      </c>
      <c r="C60" t="s">
        <v>81</v>
      </c>
      <c r="D60" t="s">
        <v>131</v>
      </c>
      <c r="E60" t="s">
        <v>131</v>
      </c>
      <c r="F60" t="s">
        <v>131</v>
      </c>
      <c r="G60" t="s">
        <v>76</v>
      </c>
      <c r="H60" t="s">
        <v>76</v>
      </c>
      <c r="L60" t="e">
        <f t="shared" si="0"/>
        <v>#DIV/0!</v>
      </c>
      <c r="O60" t="e">
        <f t="shared" si="1"/>
        <v>#DIV/0!</v>
      </c>
    </row>
    <row r="61" spans="1:15">
      <c r="A61" t="s">
        <v>34</v>
      </c>
      <c r="B61" t="s">
        <v>142</v>
      </c>
      <c r="C61" t="s">
        <v>82</v>
      </c>
      <c r="D61" t="s">
        <v>131</v>
      </c>
      <c r="E61" t="s">
        <v>131</v>
      </c>
      <c r="F61" t="s">
        <v>131</v>
      </c>
      <c r="G61" t="s">
        <v>78</v>
      </c>
      <c r="H61" t="s">
        <v>78</v>
      </c>
      <c r="J61">
        <v>5</v>
      </c>
      <c r="K61">
        <v>16</v>
      </c>
      <c r="L61">
        <f t="shared" si="0"/>
        <v>31.25</v>
      </c>
      <c r="M61">
        <v>4</v>
      </c>
      <c r="N61">
        <v>12</v>
      </c>
      <c r="O61">
        <f t="shared" si="1"/>
        <v>33.333333333333329</v>
      </c>
    </row>
    <row r="62" spans="1:15">
      <c r="A62" t="s">
        <v>35</v>
      </c>
      <c r="B62" t="s">
        <v>142</v>
      </c>
      <c r="C62" t="s">
        <v>81</v>
      </c>
      <c r="D62" t="s">
        <v>131</v>
      </c>
      <c r="E62" t="s">
        <v>131</v>
      </c>
      <c r="F62" t="s">
        <v>131</v>
      </c>
      <c r="G62" t="s">
        <v>76</v>
      </c>
      <c r="H62" t="s">
        <v>76</v>
      </c>
      <c r="L62" t="e">
        <f t="shared" si="0"/>
        <v>#DIV/0!</v>
      </c>
      <c r="O62" t="e">
        <f t="shared" si="1"/>
        <v>#DIV/0!</v>
      </c>
    </row>
    <row r="63" spans="1:15">
      <c r="A63" t="s">
        <v>36</v>
      </c>
      <c r="B63" t="s">
        <v>138</v>
      </c>
      <c r="C63" t="s">
        <v>82</v>
      </c>
      <c r="D63" t="s">
        <v>131</v>
      </c>
      <c r="E63" t="s">
        <v>131</v>
      </c>
      <c r="F63" t="s">
        <v>131</v>
      </c>
      <c r="G63" t="s">
        <v>76</v>
      </c>
      <c r="H63" t="s">
        <v>76</v>
      </c>
      <c r="L63" t="e">
        <f t="shared" si="0"/>
        <v>#DIV/0!</v>
      </c>
      <c r="O63" t="e">
        <f t="shared" si="1"/>
        <v>#DIV/0!</v>
      </c>
    </row>
    <row r="64" spans="1:15">
      <c r="A64" t="s">
        <v>37</v>
      </c>
      <c r="B64" t="s">
        <v>139</v>
      </c>
      <c r="C64" t="s">
        <v>81</v>
      </c>
      <c r="D64" t="s">
        <v>131</v>
      </c>
      <c r="E64" t="s">
        <v>131</v>
      </c>
      <c r="F64" t="s">
        <v>131</v>
      </c>
      <c r="G64" t="s">
        <v>76</v>
      </c>
      <c r="H64" t="s">
        <v>76</v>
      </c>
      <c r="L64" t="e">
        <f t="shared" si="0"/>
        <v>#DIV/0!</v>
      </c>
      <c r="O64" t="e">
        <f t="shared" si="1"/>
        <v>#DIV/0!</v>
      </c>
    </row>
    <row r="65" spans="1:15">
      <c r="A65" t="s">
        <v>38</v>
      </c>
      <c r="B65" t="s">
        <v>142</v>
      </c>
      <c r="C65" t="s">
        <v>81</v>
      </c>
      <c r="D65" t="s">
        <v>131</v>
      </c>
      <c r="E65" t="s">
        <v>131</v>
      </c>
      <c r="F65" t="s">
        <v>131</v>
      </c>
      <c r="G65" t="s">
        <v>76</v>
      </c>
      <c r="H65" t="s">
        <v>76</v>
      </c>
      <c r="L65" t="e">
        <f t="shared" si="0"/>
        <v>#DIV/0!</v>
      </c>
      <c r="O65" t="e">
        <f t="shared" si="1"/>
        <v>#DIV/0!</v>
      </c>
    </row>
    <row r="66" spans="1:15">
      <c r="A66" t="s">
        <v>39</v>
      </c>
      <c r="B66" t="s">
        <v>137</v>
      </c>
      <c r="C66" t="s">
        <v>81</v>
      </c>
      <c r="D66" t="s">
        <v>131</v>
      </c>
      <c r="E66" t="s">
        <v>131</v>
      </c>
      <c r="F66" t="s">
        <v>131</v>
      </c>
      <c r="G66" t="s">
        <v>76</v>
      </c>
      <c r="H66" t="s">
        <v>124</v>
      </c>
      <c r="L66" t="e">
        <f t="shared" si="0"/>
        <v>#DIV/0!</v>
      </c>
      <c r="O66" t="e">
        <f t="shared" si="1"/>
        <v>#DIV/0!</v>
      </c>
    </row>
    <row r="67" spans="1:15">
      <c r="A67" t="s">
        <v>40</v>
      </c>
      <c r="B67" t="s">
        <v>142</v>
      </c>
      <c r="C67" t="s">
        <v>81</v>
      </c>
      <c r="D67" t="s">
        <v>131</v>
      </c>
      <c r="E67" t="s">
        <v>131</v>
      </c>
      <c r="F67" t="s">
        <v>131</v>
      </c>
      <c r="G67" t="s">
        <v>76</v>
      </c>
      <c r="H67" t="s">
        <v>76</v>
      </c>
      <c r="L67" t="e">
        <f t="shared" ref="L67:L102" si="2">J67/K67*100</f>
        <v>#DIV/0!</v>
      </c>
      <c r="O67" t="e">
        <f t="shared" ref="O67:O102" si="3">M67/N67*100</f>
        <v>#DIV/0!</v>
      </c>
    </row>
    <row r="68" spans="1:15">
      <c r="A68" t="s">
        <v>41</v>
      </c>
      <c r="B68" t="s">
        <v>142</v>
      </c>
      <c r="C68" t="s">
        <v>81</v>
      </c>
      <c r="D68" t="s">
        <v>131</v>
      </c>
      <c r="E68" t="s">
        <v>131</v>
      </c>
      <c r="F68" t="s">
        <v>131</v>
      </c>
      <c r="G68" t="s">
        <v>77</v>
      </c>
      <c r="H68" t="s">
        <v>77</v>
      </c>
      <c r="L68" t="e">
        <f t="shared" si="2"/>
        <v>#DIV/0!</v>
      </c>
      <c r="O68" t="e">
        <f t="shared" si="3"/>
        <v>#DIV/0!</v>
      </c>
    </row>
    <row r="69" spans="1:15">
      <c r="A69" t="s">
        <v>42</v>
      </c>
      <c r="B69" t="s">
        <v>138</v>
      </c>
      <c r="C69" t="s">
        <v>82</v>
      </c>
      <c r="D69" t="s">
        <v>131</v>
      </c>
      <c r="E69" t="s">
        <v>131</v>
      </c>
      <c r="F69" t="s">
        <v>131</v>
      </c>
      <c r="G69" t="s">
        <v>76</v>
      </c>
      <c r="H69" t="s">
        <v>76</v>
      </c>
      <c r="L69" t="e">
        <f t="shared" si="2"/>
        <v>#DIV/0!</v>
      </c>
      <c r="O69" t="e">
        <f t="shared" si="3"/>
        <v>#DIV/0!</v>
      </c>
    </row>
    <row r="70" spans="1:15">
      <c r="A70" t="s">
        <v>43</v>
      </c>
      <c r="B70" t="s">
        <v>140</v>
      </c>
      <c r="C70" t="s">
        <v>81</v>
      </c>
      <c r="D70" t="s">
        <v>131</v>
      </c>
      <c r="E70" t="s">
        <v>131</v>
      </c>
      <c r="F70" t="s">
        <v>131</v>
      </c>
      <c r="G70" t="s">
        <v>77</v>
      </c>
      <c r="H70" t="s">
        <v>131</v>
      </c>
      <c r="L70" t="e">
        <f t="shared" si="2"/>
        <v>#DIV/0!</v>
      </c>
      <c r="O70" t="e">
        <f t="shared" si="3"/>
        <v>#DIV/0!</v>
      </c>
    </row>
    <row r="71" spans="1:15">
      <c r="A71" t="s">
        <v>44</v>
      </c>
      <c r="B71" t="s">
        <v>140</v>
      </c>
      <c r="C71" t="s">
        <v>81</v>
      </c>
      <c r="D71" t="s">
        <v>131</v>
      </c>
      <c r="E71" t="s">
        <v>131</v>
      </c>
      <c r="F71" t="s">
        <v>131</v>
      </c>
      <c r="G71" t="s">
        <v>78</v>
      </c>
      <c r="H71" t="s">
        <v>77</v>
      </c>
      <c r="I71" t="str" cm="1">
        <f t="array" ref="I71">IF(COUNTIF(D71:H71,"?*")=0,"",
IF(SUMPRODUCT((D71:H71&lt;&gt;"")*(D71:H71&lt;&gt;INDEX(D71:H71,MATCH("*",D71:H71,0))))&gt;0,"✓",""))</f>
        <v>✓</v>
      </c>
      <c r="J71">
        <v>5</v>
      </c>
      <c r="K71">
        <v>12</v>
      </c>
      <c r="L71">
        <f t="shared" si="2"/>
        <v>41.666666666666671</v>
      </c>
      <c r="M71">
        <v>0</v>
      </c>
      <c r="N71">
        <v>15</v>
      </c>
      <c r="O71">
        <f t="shared" si="3"/>
        <v>0</v>
      </c>
    </row>
    <row r="72" spans="1:15">
      <c r="A72" t="s">
        <v>45</v>
      </c>
      <c r="B72" t="s">
        <v>142</v>
      </c>
      <c r="C72" t="s">
        <v>81</v>
      </c>
      <c r="D72" t="s">
        <v>131</v>
      </c>
      <c r="E72" t="s">
        <v>131</v>
      </c>
      <c r="F72" t="s">
        <v>131</v>
      </c>
      <c r="G72" t="s">
        <v>76</v>
      </c>
      <c r="H72" t="s">
        <v>76</v>
      </c>
      <c r="L72" t="e">
        <f t="shared" si="2"/>
        <v>#DIV/0!</v>
      </c>
      <c r="O72" t="e">
        <f t="shared" si="3"/>
        <v>#DIV/0!</v>
      </c>
    </row>
    <row r="73" spans="1:15">
      <c r="A73" t="s">
        <v>46</v>
      </c>
      <c r="B73" t="s">
        <v>135</v>
      </c>
      <c r="C73" t="s">
        <v>81</v>
      </c>
      <c r="D73" t="s">
        <v>131</v>
      </c>
      <c r="E73" t="s">
        <v>131</v>
      </c>
      <c r="F73" t="s">
        <v>131</v>
      </c>
      <c r="G73" t="s">
        <v>76</v>
      </c>
      <c r="H73" t="s">
        <v>76</v>
      </c>
      <c r="L73" t="e">
        <f t="shared" si="2"/>
        <v>#DIV/0!</v>
      </c>
      <c r="O73" t="e">
        <f t="shared" si="3"/>
        <v>#DIV/0!</v>
      </c>
    </row>
    <row r="74" spans="1:15">
      <c r="A74" t="s">
        <v>47</v>
      </c>
      <c r="B74" t="s">
        <v>142</v>
      </c>
      <c r="C74" t="s">
        <v>81</v>
      </c>
      <c r="D74" t="s">
        <v>131</v>
      </c>
      <c r="E74" t="s">
        <v>131</v>
      </c>
      <c r="F74" t="s">
        <v>131</v>
      </c>
      <c r="G74" t="s">
        <v>77</v>
      </c>
      <c r="H74" t="s">
        <v>78</v>
      </c>
      <c r="I74" t="str" cm="1">
        <f t="array" ref="I74">IF(COUNTIF(D74:H74,"?*")=0,"",
IF(SUMPRODUCT((D74:H74&lt;&gt;"")*(D74:H74&lt;&gt;INDEX(D74:H74,MATCH("*",D74:H74,0))))&gt;0,"✓",""))</f>
        <v>✓</v>
      </c>
      <c r="J74">
        <v>0</v>
      </c>
      <c r="K74">
        <v>7</v>
      </c>
      <c r="L74">
        <f t="shared" si="2"/>
        <v>0</v>
      </c>
      <c r="M74">
        <v>1</v>
      </c>
      <c r="N74">
        <v>16</v>
      </c>
      <c r="O74">
        <f t="shared" si="3"/>
        <v>6.25</v>
      </c>
    </row>
    <row r="75" spans="1:15">
      <c r="A75" t="s">
        <v>48</v>
      </c>
      <c r="B75" t="s">
        <v>142</v>
      </c>
      <c r="C75" t="s">
        <v>81</v>
      </c>
      <c r="D75" t="s">
        <v>131</v>
      </c>
      <c r="E75" t="s">
        <v>131</v>
      </c>
      <c r="F75" t="s">
        <v>131</v>
      </c>
      <c r="G75" t="s">
        <v>79</v>
      </c>
      <c r="H75" t="s">
        <v>79</v>
      </c>
      <c r="J75">
        <v>7</v>
      </c>
      <c r="K75">
        <v>7</v>
      </c>
      <c r="L75">
        <f t="shared" si="2"/>
        <v>100</v>
      </c>
      <c r="M75">
        <v>8</v>
      </c>
      <c r="N75">
        <v>8</v>
      </c>
      <c r="O75">
        <f t="shared" si="3"/>
        <v>100</v>
      </c>
    </row>
    <row r="76" spans="1:15">
      <c r="A76" t="s">
        <v>49</v>
      </c>
      <c r="B76" t="s">
        <v>142</v>
      </c>
      <c r="C76" t="s">
        <v>81</v>
      </c>
      <c r="D76" t="s">
        <v>131</v>
      </c>
      <c r="E76" t="s">
        <v>131</v>
      </c>
      <c r="F76" t="s">
        <v>131</v>
      </c>
      <c r="G76" t="s">
        <v>76</v>
      </c>
      <c r="H76" t="s">
        <v>76</v>
      </c>
      <c r="L76" t="e">
        <f t="shared" si="2"/>
        <v>#DIV/0!</v>
      </c>
      <c r="O76" t="e">
        <f t="shared" si="3"/>
        <v>#DIV/0!</v>
      </c>
    </row>
    <row r="77" spans="1:15">
      <c r="A77" t="s">
        <v>50</v>
      </c>
      <c r="B77" t="s">
        <v>141</v>
      </c>
      <c r="C77" t="s">
        <v>81</v>
      </c>
      <c r="D77" t="s">
        <v>131</v>
      </c>
      <c r="E77" t="s">
        <v>131</v>
      </c>
      <c r="F77" t="s">
        <v>131</v>
      </c>
      <c r="G77" t="s">
        <v>76</v>
      </c>
      <c r="H77" t="s">
        <v>76</v>
      </c>
      <c r="L77" t="e">
        <f t="shared" si="2"/>
        <v>#DIV/0!</v>
      </c>
      <c r="O77" t="e">
        <f t="shared" si="3"/>
        <v>#DIV/0!</v>
      </c>
    </row>
    <row r="78" spans="1:15">
      <c r="A78" t="s">
        <v>51</v>
      </c>
      <c r="B78" t="s">
        <v>139</v>
      </c>
      <c r="C78" t="s">
        <v>81</v>
      </c>
      <c r="D78" t="s">
        <v>131</v>
      </c>
      <c r="E78" t="s">
        <v>131</v>
      </c>
      <c r="F78" t="s">
        <v>131</v>
      </c>
      <c r="G78" t="s">
        <v>76</v>
      </c>
      <c r="H78" t="s">
        <v>76</v>
      </c>
      <c r="L78" t="e">
        <f t="shared" si="2"/>
        <v>#DIV/0!</v>
      </c>
      <c r="O78" t="e">
        <f t="shared" si="3"/>
        <v>#DIV/0!</v>
      </c>
    </row>
    <row r="79" spans="1:15">
      <c r="A79" t="s">
        <v>52</v>
      </c>
      <c r="B79" t="s">
        <v>139</v>
      </c>
      <c r="C79" t="s">
        <v>82</v>
      </c>
      <c r="D79" t="s">
        <v>131</v>
      </c>
      <c r="E79" t="s">
        <v>131</v>
      </c>
      <c r="F79" t="s">
        <v>131</v>
      </c>
      <c r="G79" t="s">
        <v>76</v>
      </c>
      <c r="H79" t="s">
        <v>76</v>
      </c>
      <c r="L79" t="e">
        <f t="shared" si="2"/>
        <v>#DIV/0!</v>
      </c>
      <c r="O79" t="e">
        <f t="shared" si="3"/>
        <v>#DIV/0!</v>
      </c>
    </row>
    <row r="80" spans="1:15">
      <c r="A80" t="s">
        <v>53</v>
      </c>
      <c r="B80" t="s">
        <v>139</v>
      </c>
      <c r="C80" t="s">
        <v>81</v>
      </c>
      <c r="D80" t="s">
        <v>131</v>
      </c>
      <c r="E80" t="s">
        <v>131</v>
      </c>
      <c r="F80" t="s">
        <v>131</v>
      </c>
      <c r="G80" t="s">
        <v>76</v>
      </c>
      <c r="H80" t="s">
        <v>76</v>
      </c>
      <c r="L80" t="e">
        <f t="shared" si="2"/>
        <v>#DIV/0!</v>
      </c>
      <c r="O80" t="e">
        <f t="shared" si="3"/>
        <v>#DIV/0!</v>
      </c>
    </row>
    <row r="81" spans="1:15">
      <c r="A81" t="s">
        <v>54</v>
      </c>
      <c r="B81" t="s">
        <v>139</v>
      </c>
      <c r="C81" t="s">
        <v>81</v>
      </c>
      <c r="D81" t="s">
        <v>131</v>
      </c>
      <c r="E81" t="s">
        <v>131</v>
      </c>
      <c r="F81" t="s">
        <v>131</v>
      </c>
      <c r="G81" t="s">
        <v>78</v>
      </c>
      <c r="H81" t="s">
        <v>77</v>
      </c>
      <c r="I81" t="str" cm="1">
        <f t="array" ref="I81">IF(COUNTIF(D81:H81,"?*")=0,"",
IF(SUMPRODUCT((D81:H81&lt;&gt;"")*(D81:H81&lt;&gt;INDEX(D81:H81,MATCH("*",D81:H81,0))))&gt;0,"✓",""))</f>
        <v>✓</v>
      </c>
      <c r="J81">
        <v>3</v>
      </c>
      <c r="K81">
        <v>16</v>
      </c>
      <c r="L81">
        <f t="shared" si="2"/>
        <v>18.75</v>
      </c>
      <c r="M81">
        <v>0</v>
      </c>
      <c r="N81">
        <v>12</v>
      </c>
      <c r="O81">
        <f t="shared" si="3"/>
        <v>0</v>
      </c>
    </row>
    <row r="82" spans="1:15">
      <c r="A82" t="s">
        <v>55</v>
      </c>
      <c r="B82" t="s">
        <v>137</v>
      </c>
      <c r="C82" t="s">
        <v>82</v>
      </c>
      <c r="D82" t="s">
        <v>131</v>
      </c>
      <c r="E82" t="s">
        <v>131</v>
      </c>
      <c r="F82" t="s">
        <v>131</v>
      </c>
      <c r="G82" t="s">
        <v>78</v>
      </c>
      <c r="H82" t="s">
        <v>78</v>
      </c>
      <c r="J82">
        <v>4</v>
      </c>
      <c r="K82">
        <v>12</v>
      </c>
      <c r="L82">
        <f t="shared" si="2"/>
        <v>33.333333333333329</v>
      </c>
      <c r="M82">
        <v>5</v>
      </c>
      <c r="N82">
        <v>19</v>
      </c>
      <c r="O82">
        <f t="shared" si="3"/>
        <v>26.315789473684209</v>
      </c>
    </row>
    <row r="83" spans="1:15">
      <c r="A83" t="s">
        <v>56</v>
      </c>
      <c r="B83" t="s">
        <v>139</v>
      </c>
      <c r="C83" t="s">
        <v>81</v>
      </c>
      <c r="D83" t="s">
        <v>131</v>
      </c>
      <c r="E83" t="s">
        <v>131</v>
      </c>
      <c r="F83" t="s">
        <v>131</v>
      </c>
      <c r="G83" t="s">
        <v>76</v>
      </c>
      <c r="H83" t="s">
        <v>131</v>
      </c>
      <c r="L83" t="e">
        <f t="shared" si="2"/>
        <v>#DIV/0!</v>
      </c>
      <c r="O83" t="e">
        <f t="shared" si="3"/>
        <v>#DIV/0!</v>
      </c>
    </row>
    <row r="84" spans="1:15">
      <c r="A84" t="s">
        <v>57</v>
      </c>
      <c r="B84" t="s">
        <v>139</v>
      </c>
      <c r="C84" t="s">
        <v>81</v>
      </c>
      <c r="D84" t="s">
        <v>131</v>
      </c>
      <c r="E84" t="s">
        <v>131</v>
      </c>
      <c r="F84" t="s">
        <v>131</v>
      </c>
      <c r="G84" t="s">
        <v>76</v>
      </c>
      <c r="H84" t="s">
        <v>124</v>
      </c>
      <c r="L84" t="e">
        <f t="shared" si="2"/>
        <v>#DIV/0!</v>
      </c>
      <c r="O84" t="e">
        <f t="shared" si="3"/>
        <v>#DIV/0!</v>
      </c>
    </row>
    <row r="85" spans="1:15">
      <c r="A85" t="s">
        <v>58</v>
      </c>
      <c r="B85" t="s">
        <v>139</v>
      </c>
      <c r="C85" t="s">
        <v>81</v>
      </c>
      <c r="D85" t="s">
        <v>131</v>
      </c>
      <c r="E85" t="s">
        <v>131</v>
      </c>
      <c r="F85" t="s">
        <v>131</v>
      </c>
      <c r="G85" t="s">
        <v>76</v>
      </c>
      <c r="H85" t="s">
        <v>76</v>
      </c>
      <c r="L85" t="e">
        <f t="shared" si="2"/>
        <v>#DIV/0!</v>
      </c>
      <c r="O85" t="e">
        <f t="shared" si="3"/>
        <v>#DIV/0!</v>
      </c>
    </row>
    <row r="86" spans="1:15">
      <c r="A86" t="s">
        <v>59</v>
      </c>
      <c r="B86" t="s">
        <v>139</v>
      </c>
      <c r="C86" t="s">
        <v>81</v>
      </c>
      <c r="D86" t="s">
        <v>131</v>
      </c>
      <c r="E86" t="s">
        <v>131</v>
      </c>
      <c r="F86" t="s">
        <v>131</v>
      </c>
      <c r="G86" t="s">
        <v>76</v>
      </c>
      <c r="H86" t="s">
        <v>131</v>
      </c>
      <c r="L86" t="e">
        <f t="shared" si="2"/>
        <v>#DIV/0!</v>
      </c>
      <c r="O86" t="e">
        <f t="shared" si="3"/>
        <v>#DIV/0!</v>
      </c>
    </row>
    <row r="87" spans="1:15">
      <c r="A87" t="s">
        <v>60</v>
      </c>
      <c r="B87" t="s">
        <v>139</v>
      </c>
      <c r="C87" t="s">
        <v>81</v>
      </c>
      <c r="D87" t="s">
        <v>131</v>
      </c>
      <c r="E87" t="s">
        <v>131</v>
      </c>
      <c r="F87" t="s">
        <v>131</v>
      </c>
      <c r="G87" t="s">
        <v>76</v>
      </c>
      <c r="H87" t="s">
        <v>76</v>
      </c>
      <c r="L87" t="e">
        <f t="shared" si="2"/>
        <v>#DIV/0!</v>
      </c>
      <c r="O87" t="e">
        <f t="shared" si="3"/>
        <v>#DIV/0!</v>
      </c>
    </row>
    <row r="88" spans="1:15">
      <c r="A88" t="s">
        <v>61</v>
      </c>
      <c r="B88" t="s">
        <v>141</v>
      </c>
      <c r="C88" t="s">
        <v>81</v>
      </c>
      <c r="D88" t="s">
        <v>131</v>
      </c>
      <c r="E88" t="s">
        <v>131</v>
      </c>
      <c r="F88" t="s">
        <v>131</v>
      </c>
      <c r="G88" t="s">
        <v>76</v>
      </c>
      <c r="H88" t="s">
        <v>76</v>
      </c>
      <c r="L88" t="e">
        <f t="shared" si="2"/>
        <v>#DIV/0!</v>
      </c>
      <c r="O88" t="e">
        <f t="shared" si="3"/>
        <v>#DIV/0!</v>
      </c>
    </row>
    <row r="89" spans="1:15">
      <c r="A89" t="s">
        <v>62</v>
      </c>
      <c r="B89" t="s">
        <v>139</v>
      </c>
      <c r="C89" t="s">
        <v>81</v>
      </c>
      <c r="D89" t="s">
        <v>131</v>
      </c>
      <c r="E89" t="s">
        <v>131</v>
      </c>
      <c r="F89" t="s">
        <v>131</v>
      </c>
      <c r="G89" t="s">
        <v>76</v>
      </c>
      <c r="H89" t="s">
        <v>124</v>
      </c>
      <c r="L89" t="e">
        <f t="shared" si="2"/>
        <v>#DIV/0!</v>
      </c>
      <c r="O89" t="e">
        <f t="shared" si="3"/>
        <v>#DIV/0!</v>
      </c>
    </row>
    <row r="90" spans="1:15">
      <c r="A90" t="s">
        <v>63</v>
      </c>
      <c r="B90" t="s">
        <v>140</v>
      </c>
      <c r="C90" t="s">
        <v>81</v>
      </c>
      <c r="D90" t="s">
        <v>131</v>
      </c>
      <c r="E90" t="s">
        <v>131</v>
      </c>
      <c r="F90" t="s">
        <v>131</v>
      </c>
      <c r="G90" t="s">
        <v>76</v>
      </c>
      <c r="H90" t="s">
        <v>76</v>
      </c>
      <c r="L90" t="e">
        <f t="shared" si="2"/>
        <v>#DIV/0!</v>
      </c>
      <c r="O90" t="e">
        <f t="shared" si="3"/>
        <v>#DIV/0!</v>
      </c>
    </row>
    <row r="91" spans="1:15">
      <c r="A91" t="s">
        <v>64</v>
      </c>
      <c r="B91" t="s">
        <v>142</v>
      </c>
      <c r="C91" t="s">
        <v>81</v>
      </c>
      <c r="D91" t="s">
        <v>131</v>
      </c>
      <c r="E91" t="s">
        <v>131</v>
      </c>
      <c r="F91" t="s">
        <v>131</v>
      </c>
      <c r="G91" t="s">
        <v>76</v>
      </c>
      <c r="H91" t="s">
        <v>76</v>
      </c>
      <c r="L91" t="e">
        <f t="shared" si="2"/>
        <v>#DIV/0!</v>
      </c>
      <c r="O91" t="e">
        <f t="shared" si="3"/>
        <v>#DIV/0!</v>
      </c>
    </row>
    <row r="92" spans="1:15">
      <c r="A92" t="s">
        <v>65</v>
      </c>
      <c r="B92" t="s">
        <v>142</v>
      </c>
      <c r="C92" t="s">
        <v>81</v>
      </c>
      <c r="D92" t="s">
        <v>131</v>
      </c>
      <c r="E92" t="s">
        <v>131</v>
      </c>
      <c r="F92" t="s">
        <v>131</v>
      </c>
      <c r="G92" t="s">
        <v>76</v>
      </c>
      <c r="H92" t="s">
        <v>124</v>
      </c>
      <c r="L92" t="e">
        <f t="shared" si="2"/>
        <v>#DIV/0!</v>
      </c>
      <c r="O92" t="e">
        <f t="shared" si="3"/>
        <v>#DIV/0!</v>
      </c>
    </row>
    <row r="93" spans="1:15">
      <c r="A93" t="s">
        <v>66</v>
      </c>
      <c r="B93" t="s">
        <v>142</v>
      </c>
      <c r="C93" t="s">
        <v>81</v>
      </c>
      <c r="D93" t="s">
        <v>131</v>
      </c>
      <c r="E93" t="s">
        <v>131</v>
      </c>
      <c r="F93" t="s">
        <v>131</v>
      </c>
      <c r="G93" t="s">
        <v>76</v>
      </c>
      <c r="H93" t="s">
        <v>124</v>
      </c>
      <c r="L93" t="e">
        <f t="shared" si="2"/>
        <v>#DIV/0!</v>
      </c>
      <c r="O93" t="e">
        <f t="shared" si="3"/>
        <v>#DIV/0!</v>
      </c>
    </row>
    <row r="94" spans="1:15">
      <c r="A94" t="s">
        <v>67</v>
      </c>
      <c r="B94" t="s">
        <v>142</v>
      </c>
      <c r="C94" t="s">
        <v>81</v>
      </c>
      <c r="D94" t="s">
        <v>131</v>
      </c>
      <c r="E94" t="s">
        <v>131</v>
      </c>
      <c r="F94" t="s">
        <v>131</v>
      </c>
      <c r="G94" t="s">
        <v>76</v>
      </c>
      <c r="H94" t="s">
        <v>131</v>
      </c>
      <c r="L94" t="e">
        <f t="shared" si="2"/>
        <v>#DIV/0!</v>
      </c>
      <c r="O94" t="e">
        <f t="shared" si="3"/>
        <v>#DIV/0!</v>
      </c>
    </row>
    <row r="95" spans="1:15">
      <c r="A95" t="s">
        <v>68</v>
      </c>
      <c r="B95" t="s">
        <v>141</v>
      </c>
      <c r="C95" t="s">
        <v>81</v>
      </c>
      <c r="D95" t="s">
        <v>131</v>
      </c>
      <c r="E95" t="s">
        <v>131</v>
      </c>
      <c r="F95" t="s">
        <v>131</v>
      </c>
      <c r="G95" t="s">
        <v>76</v>
      </c>
      <c r="H95" t="s">
        <v>124</v>
      </c>
      <c r="L95" t="e">
        <f t="shared" si="2"/>
        <v>#DIV/0!</v>
      </c>
      <c r="O95" t="e">
        <f t="shared" si="3"/>
        <v>#DIV/0!</v>
      </c>
    </row>
    <row r="96" spans="1:15">
      <c r="A96" t="s">
        <v>69</v>
      </c>
      <c r="B96" t="s">
        <v>140</v>
      </c>
      <c r="C96" t="s">
        <v>82</v>
      </c>
      <c r="D96" t="s">
        <v>131</v>
      </c>
      <c r="E96" t="s">
        <v>131</v>
      </c>
      <c r="F96" t="s">
        <v>131</v>
      </c>
      <c r="G96" t="s">
        <v>77</v>
      </c>
      <c r="H96" t="s">
        <v>77</v>
      </c>
      <c r="L96" t="e">
        <f t="shared" si="2"/>
        <v>#DIV/0!</v>
      </c>
      <c r="O96" t="e">
        <f t="shared" si="3"/>
        <v>#DIV/0!</v>
      </c>
    </row>
    <row r="97" spans="1:15">
      <c r="A97" t="s">
        <v>70</v>
      </c>
      <c r="B97" t="s">
        <v>141</v>
      </c>
      <c r="C97" t="s">
        <v>81</v>
      </c>
      <c r="D97" t="s">
        <v>131</v>
      </c>
      <c r="E97" t="s">
        <v>131</v>
      </c>
      <c r="F97" t="s">
        <v>131</v>
      </c>
      <c r="G97" t="s">
        <v>76</v>
      </c>
      <c r="H97" t="s">
        <v>76</v>
      </c>
      <c r="L97" t="e">
        <f t="shared" si="2"/>
        <v>#DIV/0!</v>
      </c>
      <c r="O97" t="e">
        <f t="shared" si="3"/>
        <v>#DIV/0!</v>
      </c>
    </row>
    <row r="98" spans="1:15">
      <c r="A98" t="s">
        <v>71</v>
      </c>
      <c r="B98" t="s">
        <v>141</v>
      </c>
      <c r="C98" t="s">
        <v>81</v>
      </c>
      <c r="D98" t="s">
        <v>131</v>
      </c>
      <c r="E98" t="s">
        <v>131</v>
      </c>
      <c r="F98" t="s">
        <v>131</v>
      </c>
      <c r="G98" t="s">
        <v>76</v>
      </c>
      <c r="H98" t="s">
        <v>76</v>
      </c>
      <c r="L98" t="e">
        <f t="shared" si="2"/>
        <v>#DIV/0!</v>
      </c>
      <c r="O98" t="e">
        <f t="shared" si="3"/>
        <v>#DIV/0!</v>
      </c>
    </row>
    <row r="99" spans="1:15">
      <c r="A99" t="s">
        <v>72</v>
      </c>
      <c r="B99" t="s">
        <v>142</v>
      </c>
      <c r="C99" t="s">
        <v>81</v>
      </c>
      <c r="D99" t="s">
        <v>131</v>
      </c>
      <c r="E99" t="s">
        <v>131</v>
      </c>
      <c r="F99" t="s">
        <v>131</v>
      </c>
      <c r="G99" t="s">
        <v>77</v>
      </c>
      <c r="H99" t="s">
        <v>77</v>
      </c>
      <c r="L99" t="e">
        <f t="shared" si="2"/>
        <v>#DIV/0!</v>
      </c>
      <c r="O99" t="e">
        <f t="shared" si="3"/>
        <v>#DIV/0!</v>
      </c>
    </row>
    <row r="100" spans="1:15">
      <c r="A100" t="s">
        <v>73</v>
      </c>
      <c r="B100" t="s">
        <v>141</v>
      </c>
      <c r="C100" t="s">
        <v>81</v>
      </c>
      <c r="D100" t="s">
        <v>131</v>
      </c>
      <c r="E100" t="s">
        <v>131</v>
      </c>
      <c r="F100" t="s">
        <v>131</v>
      </c>
      <c r="G100" t="s">
        <v>76</v>
      </c>
      <c r="H100" t="s">
        <v>76</v>
      </c>
      <c r="L100" t="e">
        <f t="shared" si="2"/>
        <v>#DIV/0!</v>
      </c>
      <c r="O100" t="e">
        <f t="shared" si="3"/>
        <v>#DIV/0!</v>
      </c>
    </row>
    <row r="101" spans="1:15">
      <c r="A101" t="s">
        <v>74</v>
      </c>
      <c r="B101" t="s">
        <v>141</v>
      </c>
      <c r="C101" t="s">
        <v>81</v>
      </c>
      <c r="D101" t="s">
        <v>131</v>
      </c>
      <c r="E101" t="s">
        <v>131</v>
      </c>
      <c r="F101" t="s">
        <v>131</v>
      </c>
      <c r="G101" t="s">
        <v>76</v>
      </c>
      <c r="H101" t="s">
        <v>76</v>
      </c>
      <c r="L101" t="e">
        <f t="shared" si="2"/>
        <v>#DIV/0!</v>
      </c>
      <c r="O101" t="e">
        <f t="shared" si="3"/>
        <v>#DIV/0!</v>
      </c>
    </row>
    <row r="102" spans="1:15">
      <c r="A102" t="s">
        <v>75</v>
      </c>
      <c r="B102" t="s">
        <v>142</v>
      </c>
      <c r="C102" t="s">
        <v>81</v>
      </c>
      <c r="D102" t="s">
        <v>131</v>
      </c>
      <c r="E102" t="s">
        <v>131</v>
      </c>
      <c r="F102" t="s">
        <v>131</v>
      </c>
      <c r="G102" t="s">
        <v>77</v>
      </c>
      <c r="H102" t="s">
        <v>77</v>
      </c>
      <c r="L102" t="e">
        <f t="shared" si="2"/>
        <v>#DIV/0!</v>
      </c>
      <c r="O102" t="e">
        <f t="shared" si="3"/>
        <v>#DIV/0!</v>
      </c>
    </row>
    <row r="103" spans="1:15">
      <c r="A103" t="s">
        <v>83</v>
      </c>
      <c r="B103" t="s">
        <v>142</v>
      </c>
      <c r="C103" t="s">
        <v>82</v>
      </c>
      <c r="D103" t="s">
        <v>131</v>
      </c>
      <c r="E103" t="s">
        <v>131</v>
      </c>
      <c r="F103" t="s">
        <v>131</v>
      </c>
      <c r="G103" t="s">
        <v>77</v>
      </c>
      <c r="H103" t="s">
        <v>131</v>
      </c>
      <c r="L103" t="e">
        <f t="shared" ref="L103:L114" si="4">J103/K103*100</f>
        <v>#DIV/0!</v>
      </c>
      <c r="O103" t="e">
        <f t="shared" ref="O103:O114" si="5">M103/N103*100</f>
        <v>#DIV/0!</v>
      </c>
    </row>
    <row r="104" spans="1:15">
      <c r="A104" t="s">
        <v>84</v>
      </c>
      <c r="B104" t="s">
        <v>142</v>
      </c>
      <c r="C104" t="s">
        <v>82</v>
      </c>
      <c r="D104" t="s">
        <v>131</v>
      </c>
      <c r="E104" t="s">
        <v>131</v>
      </c>
      <c r="F104" t="s">
        <v>131</v>
      </c>
      <c r="G104" t="s">
        <v>78</v>
      </c>
      <c r="H104" t="s">
        <v>131</v>
      </c>
      <c r="L104" t="e">
        <f t="shared" si="4"/>
        <v>#DIV/0!</v>
      </c>
      <c r="O104" t="e">
        <f t="shared" si="5"/>
        <v>#DIV/0!</v>
      </c>
    </row>
    <row r="105" spans="1:15">
      <c r="A105" t="s">
        <v>85</v>
      </c>
      <c r="B105" t="s">
        <v>142</v>
      </c>
      <c r="C105" t="s">
        <v>82</v>
      </c>
      <c r="D105" t="s">
        <v>131</v>
      </c>
      <c r="E105" t="s">
        <v>131</v>
      </c>
      <c r="F105" t="s">
        <v>131</v>
      </c>
      <c r="G105" t="s">
        <v>78</v>
      </c>
      <c r="H105" t="s">
        <v>131</v>
      </c>
      <c r="L105" t="e">
        <f t="shared" si="4"/>
        <v>#DIV/0!</v>
      </c>
      <c r="O105" t="e">
        <f t="shared" si="5"/>
        <v>#DIV/0!</v>
      </c>
    </row>
    <row r="106" spans="1:15">
      <c r="A106" t="s">
        <v>86</v>
      </c>
      <c r="B106" t="s">
        <v>142</v>
      </c>
      <c r="C106" t="s">
        <v>82</v>
      </c>
      <c r="D106" t="s">
        <v>131</v>
      </c>
      <c r="E106" t="s">
        <v>131</v>
      </c>
      <c r="F106" t="s">
        <v>131</v>
      </c>
      <c r="G106" t="s">
        <v>76</v>
      </c>
      <c r="H106" t="s">
        <v>131</v>
      </c>
      <c r="L106" t="e">
        <f t="shared" si="4"/>
        <v>#DIV/0!</v>
      </c>
      <c r="O106" t="e">
        <f t="shared" si="5"/>
        <v>#DIV/0!</v>
      </c>
    </row>
    <row r="107" spans="1:15">
      <c r="A107" t="s">
        <v>87</v>
      </c>
      <c r="B107" t="s">
        <v>142</v>
      </c>
      <c r="C107" t="s">
        <v>82</v>
      </c>
      <c r="D107" t="s">
        <v>131</v>
      </c>
      <c r="E107" t="s">
        <v>131</v>
      </c>
      <c r="F107" t="s">
        <v>131</v>
      </c>
      <c r="G107" t="s">
        <v>76</v>
      </c>
      <c r="H107" t="s">
        <v>76</v>
      </c>
      <c r="L107" t="e">
        <f t="shared" si="4"/>
        <v>#DIV/0!</v>
      </c>
      <c r="O107" t="e">
        <f t="shared" si="5"/>
        <v>#DIV/0!</v>
      </c>
    </row>
    <row r="108" spans="1:15">
      <c r="A108" t="s">
        <v>88</v>
      </c>
      <c r="B108" t="s">
        <v>142</v>
      </c>
      <c r="C108" t="s">
        <v>82</v>
      </c>
      <c r="D108" t="s">
        <v>131</v>
      </c>
      <c r="E108" t="s">
        <v>131</v>
      </c>
      <c r="F108" t="s">
        <v>131</v>
      </c>
      <c r="G108" t="s">
        <v>76</v>
      </c>
      <c r="H108" t="s">
        <v>131</v>
      </c>
      <c r="L108" t="e">
        <f t="shared" si="4"/>
        <v>#DIV/0!</v>
      </c>
      <c r="O108" t="e">
        <f t="shared" si="5"/>
        <v>#DIV/0!</v>
      </c>
    </row>
    <row r="109" spans="1:15">
      <c r="A109" t="s">
        <v>89</v>
      </c>
      <c r="B109" t="s">
        <v>142</v>
      </c>
      <c r="C109" t="s">
        <v>82</v>
      </c>
      <c r="D109" t="s">
        <v>131</v>
      </c>
      <c r="E109" t="s">
        <v>131</v>
      </c>
      <c r="F109" t="s">
        <v>131</v>
      </c>
      <c r="G109" t="s">
        <v>76</v>
      </c>
      <c r="H109" t="s">
        <v>131</v>
      </c>
      <c r="L109" t="e">
        <f t="shared" si="4"/>
        <v>#DIV/0!</v>
      </c>
      <c r="O109" t="e">
        <f t="shared" si="5"/>
        <v>#DIV/0!</v>
      </c>
    </row>
    <row r="110" spans="1:15">
      <c r="A110" t="s">
        <v>90</v>
      </c>
      <c r="B110" t="s">
        <v>142</v>
      </c>
      <c r="C110" t="s">
        <v>82</v>
      </c>
      <c r="D110" t="s">
        <v>131</v>
      </c>
      <c r="E110" t="s">
        <v>131</v>
      </c>
      <c r="F110" t="s">
        <v>131</v>
      </c>
      <c r="G110" t="s">
        <v>76</v>
      </c>
      <c r="H110" t="s">
        <v>131</v>
      </c>
      <c r="L110" t="e">
        <f t="shared" si="4"/>
        <v>#DIV/0!</v>
      </c>
      <c r="O110" t="e">
        <f t="shared" si="5"/>
        <v>#DIV/0!</v>
      </c>
    </row>
    <row r="111" spans="1:15">
      <c r="A111" t="s">
        <v>91</v>
      </c>
      <c r="B111" t="s">
        <v>142</v>
      </c>
      <c r="C111" t="s">
        <v>82</v>
      </c>
      <c r="D111" t="s">
        <v>131</v>
      </c>
      <c r="E111" t="s">
        <v>131</v>
      </c>
      <c r="F111" t="s">
        <v>131</v>
      </c>
      <c r="G111" t="s">
        <v>76</v>
      </c>
      <c r="H111" t="s">
        <v>131</v>
      </c>
      <c r="L111" t="e">
        <f t="shared" si="4"/>
        <v>#DIV/0!</v>
      </c>
      <c r="O111" t="e">
        <f t="shared" si="5"/>
        <v>#DIV/0!</v>
      </c>
    </row>
    <row r="112" spans="1:15">
      <c r="A112" t="s">
        <v>92</v>
      </c>
      <c r="B112" t="s">
        <v>142</v>
      </c>
      <c r="C112" t="s">
        <v>82</v>
      </c>
      <c r="D112" t="s">
        <v>131</v>
      </c>
      <c r="E112" t="s">
        <v>131</v>
      </c>
      <c r="F112" t="s">
        <v>131</v>
      </c>
      <c r="G112" t="s">
        <v>76</v>
      </c>
      <c r="H112" t="s">
        <v>76</v>
      </c>
      <c r="L112" t="e">
        <f t="shared" si="4"/>
        <v>#DIV/0!</v>
      </c>
      <c r="O112" t="e">
        <f t="shared" si="5"/>
        <v>#DIV/0!</v>
      </c>
    </row>
    <row r="113" spans="1:15">
      <c r="A113" t="s">
        <v>93</v>
      </c>
      <c r="B113" t="s">
        <v>142</v>
      </c>
      <c r="C113" t="s">
        <v>82</v>
      </c>
      <c r="D113" t="s">
        <v>131</v>
      </c>
      <c r="E113" t="s">
        <v>131</v>
      </c>
      <c r="F113" t="s">
        <v>131</v>
      </c>
      <c r="G113" t="s">
        <v>76</v>
      </c>
      <c r="H113" t="s">
        <v>131</v>
      </c>
      <c r="L113" t="e">
        <f t="shared" si="4"/>
        <v>#DIV/0!</v>
      </c>
      <c r="O113" t="e">
        <f t="shared" si="5"/>
        <v>#DIV/0!</v>
      </c>
    </row>
    <row r="114" spans="1:15">
      <c r="A114" t="s">
        <v>94</v>
      </c>
      <c r="B114" t="s">
        <v>142</v>
      </c>
      <c r="C114" t="s">
        <v>82</v>
      </c>
      <c r="D114" t="s">
        <v>131</v>
      </c>
      <c r="E114" t="s">
        <v>131</v>
      </c>
      <c r="F114" t="s">
        <v>131</v>
      </c>
      <c r="G114" t="s">
        <v>76</v>
      </c>
      <c r="H114" t="s">
        <v>131</v>
      </c>
      <c r="L114" t="e">
        <f t="shared" si="4"/>
        <v>#DIV/0!</v>
      </c>
      <c r="O114" t="e">
        <f t="shared" si="5"/>
        <v>#DIV/0!</v>
      </c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Sex_of_P.cylindrica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伊野波佳介</dc:creator>
  <cp:lastModifiedBy>Masaya MORITA</cp:lastModifiedBy>
  <dcterms:created xsi:type="dcterms:W3CDTF">2023-09-12T09:49:19Z</dcterms:created>
  <dcterms:modified xsi:type="dcterms:W3CDTF">2026-01-22T14:47:43Z</dcterms:modified>
</cp:coreProperties>
</file>